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"/>
    </mc:Choice>
  </mc:AlternateContent>
  <xr:revisionPtr revIDLastSave="0" documentId="13_ncr:1_{35F1411D-DC7A-46CA-ABA6-CC1FF0CC02CC}" xr6:coauthVersionLast="47" xr6:coauthVersionMax="47" xr10:uidLastSave="{00000000-0000-0000-0000-000000000000}"/>
  <bookViews>
    <workbookView xWindow="-108" yWindow="-108" windowWidth="23256" windowHeight="12456" firstSheet="2" activeTab="2" xr2:uid="{659496DD-06D6-46AF-B50E-B863E3C6EF02}"/>
  </bookViews>
  <sheets>
    <sheet name="Clean Dataset" sheetId="1" state="hidden" r:id="rId1"/>
    <sheet name="Pivot Tables" sheetId="2" state="hidden" r:id="rId2"/>
    <sheet name="EFOS Dashboard" sheetId="3" r:id="rId3"/>
  </sheets>
  <definedNames>
    <definedName name="SegmentaçãodeDados_Category">#N/A</definedName>
    <definedName name="SegmentaçãodeDados_State1">#N/A</definedName>
  </definedNames>
  <calcPr calcId="191029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  <c r="J7" i="3"/>
  <c r="N1195" i="1"/>
  <c r="C1195" i="1"/>
  <c r="N1194" i="1"/>
  <c r="C1194" i="1"/>
  <c r="N1193" i="1"/>
  <c r="C1193" i="1"/>
  <c r="N1192" i="1"/>
  <c r="C1192" i="1"/>
  <c r="N1191" i="1"/>
  <c r="C1191" i="1"/>
  <c r="N1190" i="1"/>
  <c r="C1190" i="1"/>
  <c r="N1189" i="1"/>
  <c r="C1189" i="1"/>
  <c r="N1188" i="1"/>
  <c r="C1188" i="1"/>
  <c r="N1187" i="1"/>
  <c r="C1187" i="1"/>
  <c r="N1186" i="1"/>
  <c r="C1186" i="1"/>
  <c r="N1185" i="1"/>
  <c r="C1185" i="1"/>
  <c r="N1184" i="1"/>
  <c r="C1184" i="1"/>
  <c r="N1183" i="1"/>
  <c r="C1183" i="1"/>
  <c r="N1182" i="1"/>
  <c r="C1182" i="1"/>
  <c r="N1181" i="1"/>
  <c r="C1181" i="1"/>
  <c r="N1180" i="1"/>
  <c r="C1180" i="1"/>
  <c r="N1179" i="1"/>
  <c r="C1179" i="1"/>
  <c r="N1178" i="1"/>
  <c r="C1178" i="1"/>
  <c r="N1177" i="1"/>
  <c r="C1177" i="1"/>
  <c r="N1176" i="1"/>
  <c r="C1176" i="1"/>
  <c r="N1175" i="1"/>
  <c r="C1175" i="1"/>
  <c r="N1174" i="1"/>
  <c r="C1174" i="1"/>
  <c r="N1173" i="1"/>
  <c r="C1173" i="1"/>
  <c r="N1172" i="1"/>
  <c r="C1172" i="1"/>
  <c r="N1171" i="1"/>
  <c r="C1171" i="1"/>
  <c r="N1170" i="1"/>
  <c r="C1170" i="1"/>
  <c r="N1169" i="1"/>
  <c r="C1169" i="1"/>
  <c r="N1168" i="1"/>
  <c r="C1168" i="1"/>
  <c r="N1167" i="1"/>
  <c r="C1167" i="1"/>
  <c r="N1166" i="1"/>
  <c r="C1166" i="1"/>
  <c r="N1165" i="1"/>
  <c r="C1165" i="1"/>
  <c r="N1164" i="1"/>
  <c r="C1164" i="1"/>
  <c r="N1163" i="1"/>
  <c r="C1163" i="1"/>
  <c r="N1162" i="1"/>
  <c r="C1162" i="1"/>
  <c r="N1161" i="1"/>
  <c r="C1161" i="1"/>
  <c r="N1160" i="1"/>
  <c r="C1160" i="1"/>
  <c r="N1159" i="1"/>
  <c r="C1159" i="1"/>
  <c r="N1158" i="1"/>
  <c r="C1158" i="1"/>
  <c r="N1157" i="1"/>
  <c r="C1157" i="1"/>
  <c r="N1156" i="1"/>
  <c r="C1156" i="1"/>
  <c r="N1155" i="1"/>
  <c r="C1155" i="1"/>
  <c r="N1154" i="1"/>
  <c r="C1154" i="1"/>
  <c r="N1153" i="1"/>
  <c r="C1153" i="1"/>
  <c r="N1152" i="1"/>
  <c r="C1152" i="1"/>
  <c r="N1151" i="1"/>
  <c r="C1151" i="1"/>
  <c r="N1150" i="1"/>
  <c r="C1150" i="1"/>
  <c r="N1149" i="1"/>
  <c r="C1149" i="1"/>
  <c r="N1148" i="1"/>
  <c r="C1148" i="1"/>
  <c r="N1147" i="1"/>
  <c r="C1147" i="1"/>
  <c r="N1146" i="1"/>
  <c r="C1146" i="1"/>
  <c r="N1145" i="1"/>
  <c r="C1145" i="1"/>
  <c r="N1144" i="1"/>
  <c r="C1144" i="1"/>
  <c r="N1143" i="1"/>
  <c r="C1143" i="1"/>
  <c r="N1142" i="1"/>
  <c r="C1142" i="1"/>
  <c r="N1141" i="1"/>
  <c r="C1141" i="1"/>
  <c r="N1140" i="1"/>
  <c r="C1140" i="1"/>
  <c r="N1139" i="1"/>
  <c r="C1139" i="1"/>
  <c r="N1138" i="1"/>
  <c r="C1138" i="1"/>
  <c r="N1137" i="1"/>
  <c r="C1137" i="1"/>
  <c r="N1136" i="1"/>
  <c r="C1136" i="1"/>
  <c r="N1135" i="1"/>
  <c r="C1135" i="1"/>
  <c r="N1134" i="1"/>
  <c r="C1134" i="1"/>
  <c r="N1133" i="1"/>
  <c r="C1133" i="1"/>
  <c r="N1132" i="1"/>
  <c r="C1132" i="1"/>
  <c r="N1131" i="1"/>
  <c r="C1131" i="1"/>
  <c r="N1130" i="1"/>
  <c r="C1130" i="1"/>
  <c r="N1129" i="1"/>
  <c r="C1129" i="1"/>
  <c r="N1128" i="1"/>
  <c r="C1128" i="1"/>
  <c r="N1127" i="1"/>
  <c r="C1127" i="1"/>
  <c r="N1126" i="1"/>
  <c r="C1126" i="1"/>
  <c r="N1125" i="1"/>
  <c r="C1125" i="1"/>
  <c r="N1124" i="1"/>
  <c r="C1124" i="1"/>
  <c r="N1123" i="1"/>
  <c r="C1123" i="1"/>
  <c r="N1122" i="1"/>
  <c r="C1122" i="1"/>
  <c r="N1121" i="1"/>
  <c r="C1121" i="1"/>
  <c r="N1120" i="1"/>
  <c r="C1120" i="1"/>
  <c r="N1119" i="1"/>
  <c r="C1119" i="1"/>
  <c r="N1118" i="1"/>
  <c r="C1118" i="1"/>
  <c r="N1117" i="1"/>
  <c r="C1117" i="1"/>
  <c r="N1116" i="1"/>
  <c r="C1116" i="1"/>
  <c r="N1115" i="1"/>
  <c r="C1115" i="1"/>
  <c r="N1114" i="1"/>
  <c r="C1114" i="1"/>
  <c r="N1113" i="1"/>
  <c r="C1113" i="1"/>
  <c r="N1112" i="1"/>
  <c r="C1112" i="1"/>
  <c r="N1111" i="1"/>
  <c r="C1111" i="1"/>
  <c r="N1110" i="1"/>
  <c r="C1110" i="1"/>
  <c r="N1109" i="1"/>
  <c r="C1109" i="1"/>
  <c r="N1108" i="1"/>
  <c r="C1108" i="1"/>
  <c r="N1107" i="1"/>
  <c r="C1107" i="1"/>
  <c r="N1106" i="1"/>
  <c r="C1106" i="1"/>
  <c r="N1105" i="1"/>
  <c r="C1105" i="1"/>
  <c r="N1104" i="1"/>
  <c r="C1104" i="1"/>
  <c r="N1103" i="1"/>
  <c r="C1103" i="1"/>
  <c r="N1102" i="1"/>
  <c r="C1102" i="1"/>
  <c r="N1101" i="1"/>
  <c r="C1101" i="1"/>
  <c r="N1100" i="1"/>
  <c r="C1100" i="1"/>
  <c r="N1099" i="1"/>
  <c r="C1099" i="1"/>
  <c r="N1098" i="1"/>
  <c r="C1098" i="1"/>
  <c r="N1097" i="1"/>
  <c r="C1097" i="1"/>
  <c r="N1096" i="1"/>
  <c r="C1096" i="1"/>
  <c r="N1095" i="1"/>
  <c r="C1095" i="1"/>
  <c r="N1094" i="1"/>
  <c r="C1094" i="1"/>
  <c r="N1093" i="1"/>
  <c r="C1093" i="1"/>
  <c r="N1092" i="1"/>
  <c r="C1092" i="1"/>
  <c r="N1091" i="1"/>
  <c r="C1091" i="1"/>
  <c r="N1090" i="1"/>
  <c r="C1090" i="1"/>
  <c r="N1089" i="1"/>
  <c r="C1089" i="1"/>
  <c r="N1088" i="1"/>
  <c r="C1088" i="1"/>
  <c r="N1087" i="1"/>
  <c r="C1087" i="1"/>
  <c r="N1086" i="1"/>
  <c r="C1086" i="1"/>
  <c r="N1085" i="1"/>
  <c r="C1085" i="1"/>
  <c r="N1084" i="1"/>
  <c r="C1084" i="1"/>
  <c r="N1083" i="1"/>
  <c r="C1083" i="1"/>
  <c r="N1082" i="1"/>
  <c r="C1082" i="1"/>
  <c r="N1081" i="1"/>
  <c r="C1081" i="1"/>
  <c r="N1080" i="1"/>
  <c r="C1080" i="1"/>
  <c r="N1079" i="1"/>
  <c r="C1079" i="1"/>
  <c r="N1078" i="1"/>
  <c r="C1078" i="1"/>
  <c r="N1077" i="1"/>
  <c r="C1077" i="1"/>
  <c r="N1076" i="1"/>
  <c r="C1076" i="1"/>
  <c r="N1075" i="1"/>
  <c r="C1075" i="1"/>
  <c r="N1074" i="1"/>
  <c r="C1074" i="1"/>
  <c r="N1073" i="1"/>
  <c r="C1073" i="1"/>
  <c r="N1072" i="1"/>
  <c r="C1072" i="1"/>
  <c r="N1071" i="1"/>
  <c r="C1071" i="1"/>
  <c r="N1070" i="1"/>
  <c r="C1070" i="1"/>
  <c r="N1069" i="1"/>
  <c r="C1069" i="1"/>
  <c r="N1068" i="1"/>
  <c r="C1068" i="1"/>
  <c r="N1067" i="1"/>
  <c r="C1067" i="1"/>
  <c r="N1066" i="1"/>
  <c r="C1066" i="1"/>
  <c r="N1065" i="1"/>
  <c r="C1065" i="1"/>
  <c r="N1064" i="1"/>
  <c r="C1064" i="1"/>
  <c r="N1063" i="1"/>
  <c r="C1063" i="1"/>
  <c r="N1062" i="1"/>
  <c r="C1062" i="1"/>
  <c r="N1061" i="1"/>
  <c r="C1061" i="1"/>
  <c r="N1060" i="1"/>
  <c r="C1060" i="1"/>
  <c r="N1059" i="1"/>
  <c r="C1059" i="1"/>
  <c r="N1058" i="1"/>
  <c r="C1058" i="1"/>
  <c r="N1057" i="1"/>
  <c r="C1057" i="1"/>
  <c r="N1056" i="1"/>
  <c r="C1056" i="1"/>
  <c r="N1055" i="1"/>
  <c r="C1055" i="1"/>
  <c r="N1054" i="1"/>
  <c r="C1054" i="1"/>
  <c r="N1053" i="1"/>
  <c r="C1053" i="1"/>
  <c r="N1052" i="1"/>
  <c r="C1052" i="1"/>
  <c r="N1051" i="1"/>
  <c r="C1051" i="1"/>
  <c r="N1050" i="1"/>
  <c r="C1050" i="1"/>
  <c r="N1049" i="1"/>
  <c r="C1049" i="1"/>
  <c r="N1048" i="1"/>
  <c r="C1048" i="1"/>
  <c r="N1047" i="1"/>
  <c r="C1047" i="1"/>
  <c r="N1046" i="1"/>
  <c r="C1046" i="1"/>
  <c r="N1045" i="1"/>
  <c r="C1045" i="1"/>
  <c r="N1044" i="1"/>
  <c r="C1044" i="1"/>
  <c r="N1043" i="1"/>
  <c r="C1043" i="1"/>
  <c r="N1042" i="1"/>
  <c r="C1042" i="1"/>
  <c r="N1041" i="1"/>
  <c r="C1041" i="1"/>
  <c r="N1040" i="1"/>
  <c r="C1040" i="1"/>
  <c r="N1039" i="1"/>
  <c r="C1039" i="1"/>
  <c r="N1038" i="1"/>
  <c r="C1038" i="1"/>
  <c r="N1037" i="1"/>
  <c r="C1037" i="1"/>
  <c r="N1036" i="1"/>
  <c r="C1036" i="1"/>
  <c r="N1035" i="1"/>
  <c r="C1035" i="1"/>
  <c r="N1034" i="1"/>
  <c r="C1034" i="1"/>
  <c r="N1033" i="1"/>
  <c r="C1033" i="1"/>
  <c r="N1032" i="1"/>
  <c r="C1032" i="1"/>
  <c r="N1031" i="1"/>
  <c r="C1031" i="1"/>
  <c r="N1030" i="1"/>
  <c r="C1030" i="1"/>
  <c r="N1029" i="1"/>
  <c r="C1029" i="1"/>
  <c r="N1028" i="1"/>
  <c r="C1028" i="1"/>
  <c r="N1027" i="1"/>
  <c r="C1027" i="1"/>
  <c r="N1026" i="1"/>
  <c r="C1026" i="1"/>
  <c r="N1025" i="1"/>
  <c r="C1025" i="1"/>
  <c r="N1024" i="1"/>
  <c r="C1024" i="1"/>
  <c r="N1023" i="1"/>
  <c r="C1023" i="1"/>
  <c r="N1022" i="1"/>
  <c r="C1022" i="1"/>
  <c r="N1021" i="1"/>
  <c r="C1021" i="1"/>
  <c r="N1020" i="1"/>
  <c r="C1020" i="1"/>
  <c r="N1019" i="1"/>
  <c r="C1019" i="1"/>
  <c r="N1018" i="1"/>
  <c r="C1018" i="1"/>
  <c r="N1017" i="1"/>
  <c r="C1017" i="1"/>
  <c r="N1016" i="1"/>
  <c r="C1016" i="1"/>
  <c r="N1015" i="1"/>
  <c r="C1015" i="1"/>
  <c r="N1014" i="1"/>
  <c r="C1014" i="1"/>
  <c r="N1013" i="1"/>
  <c r="C1013" i="1"/>
  <c r="N1012" i="1"/>
  <c r="C1012" i="1"/>
  <c r="N1011" i="1"/>
  <c r="C1011" i="1"/>
  <c r="N1010" i="1"/>
  <c r="C1010" i="1"/>
  <c r="N1009" i="1"/>
  <c r="C1009" i="1"/>
  <c r="N1008" i="1"/>
  <c r="C1008" i="1"/>
  <c r="N1007" i="1"/>
  <c r="C1007" i="1"/>
  <c r="N1006" i="1"/>
  <c r="C1006" i="1"/>
  <c r="N1005" i="1"/>
  <c r="C1005" i="1"/>
  <c r="N1004" i="1"/>
  <c r="C1004" i="1"/>
  <c r="N1003" i="1"/>
  <c r="C1003" i="1"/>
  <c r="N1002" i="1"/>
  <c r="C1002" i="1"/>
  <c r="N1001" i="1"/>
  <c r="C1001" i="1"/>
  <c r="N1000" i="1"/>
  <c r="C1000" i="1"/>
  <c r="N999" i="1"/>
  <c r="C999" i="1"/>
  <c r="N998" i="1"/>
  <c r="C998" i="1"/>
  <c r="N997" i="1"/>
  <c r="C997" i="1"/>
  <c r="N996" i="1"/>
  <c r="C996" i="1"/>
  <c r="N995" i="1"/>
  <c r="C995" i="1"/>
  <c r="N994" i="1"/>
  <c r="C994" i="1"/>
  <c r="N993" i="1"/>
  <c r="C993" i="1"/>
  <c r="N992" i="1"/>
  <c r="C992" i="1"/>
  <c r="N991" i="1"/>
  <c r="C991" i="1"/>
  <c r="N990" i="1"/>
  <c r="C990" i="1"/>
  <c r="N989" i="1"/>
  <c r="C989" i="1"/>
  <c r="N988" i="1"/>
  <c r="C988" i="1"/>
  <c r="N987" i="1"/>
  <c r="C987" i="1"/>
  <c r="N986" i="1"/>
  <c r="C986" i="1"/>
  <c r="N985" i="1"/>
  <c r="C985" i="1"/>
  <c r="N984" i="1"/>
  <c r="C984" i="1"/>
  <c r="N983" i="1"/>
  <c r="C983" i="1"/>
  <c r="N982" i="1"/>
  <c r="C982" i="1"/>
  <c r="N981" i="1"/>
  <c r="C981" i="1"/>
  <c r="N980" i="1"/>
  <c r="C980" i="1"/>
  <c r="N979" i="1"/>
  <c r="C979" i="1"/>
  <c r="N978" i="1"/>
  <c r="C978" i="1"/>
  <c r="N977" i="1"/>
  <c r="C977" i="1"/>
  <c r="N976" i="1"/>
  <c r="C976" i="1"/>
  <c r="N975" i="1"/>
  <c r="C975" i="1"/>
  <c r="N974" i="1"/>
  <c r="C974" i="1"/>
  <c r="N973" i="1"/>
  <c r="C973" i="1"/>
  <c r="N972" i="1"/>
  <c r="C972" i="1"/>
  <c r="N971" i="1"/>
  <c r="C971" i="1"/>
  <c r="N970" i="1"/>
  <c r="C970" i="1"/>
  <c r="N969" i="1"/>
  <c r="C969" i="1"/>
  <c r="N968" i="1"/>
  <c r="C968" i="1"/>
  <c r="N967" i="1"/>
  <c r="C967" i="1"/>
  <c r="N966" i="1"/>
  <c r="C966" i="1"/>
  <c r="N965" i="1"/>
  <c r="C965" i="1"/>
  <c r="N964" i="1"/>
  <c r="C964" i="1"/>
  <c r="N963" i="1"/>
  <c r="C963" i="1"/>
  <c r="N962" i="1"/>
  <c r="C962" i="1"/>
  <c r="N961" i="1"/>
  <c r="C961" i="1"/>
  <c r="N960" i="1"/>
  <c r="C960" i="1"/>
  <c r="N959" i="1"/>
  <c r="C959" i="1"/>
  <c r="N958" i="1"/>
  <c r="C958" i="1"/>
  <c r="N957" i="1"/>
  <c r="C957" i="1"/>
  <c r="N956" i="1"/>
  <c r="C956" i="1"/>
  <c r="N955" i="1"/>
  <c r="C955" i="1"/>
  <c r="N954" i="1"/>
  <c r="C954" i="1"/>
  <c r="N953" i="1"/>
  <c r="C953" i="1"/>
  <c r="N952" i="1"/>
  <c r="C952" i="1"/>
  <c r="N951" i="1"/>
  <c r="C951" i="1"/>
  <c r="N950" i="1"/>
  <c r="C950" i="1"/>
  <c r="N949" i="1"/>
  <c r="C949" i="1"/>
  <c r="N948" i="1"/>
  <c r="C948" i="1"/>
  <c r="N947" i="1"/>
  <c r="C947" i="1"/>
  <c r="N946" i="1"/>
  <c r="C946" i="1"/>
  <c r="N945" i="1"/>
  <c r="C945" i="1"/>
  <c r="N944" i="1"/>
  <c r="C944" i="1"/>
  <c r="N943" i="1"/>
  <c r="C943" i="1"/>
  <c r="N942" i="1"/>
  <c r="C942" i="1"/>
  <c r="N941" i="1"/>
  <c r="C941" i="1"/>
  <c r="N940" i="1"/>
  <c r="C940" i="1"/>
  <c r="N939" i="1"/>
  <c r="C939" i="1"/>
  <c r="N938" i="1"/>
  <c r="C938" i="1"/>
  <c r="N937" i="1"/>
  <c r="C937" i="1"/>
  <c r="N936" i="1"/>
  <c r="C936" i="1"/>
  <c r="N935" i="1"/>
  <c r="C935" i="1"/>
  <c r="N934" i="1"/>
  <c r="C934" i="1"/>
  <c r="N933" i="1"/>
  <c r="C933" i="1"/>
  <c r="N932" i="1"/>
  <c r="C932" i="1"/>
  <c r="N931" i="1"/>
  <c r="C931" i="1"/>
  <c r="N930" i="1"/>
  <c r="C930" i="1"/>
  <c r="N929" i="1"/>
  <c r="C929" i="1"/>
  <c r="N928" i="1"/>
  <c r="C928" i="1"/>
  <c r="N927" i="1"/>
  <c r="C927" i="1"/>
  <c r="N926" i="1"/>
  <c r="C926" i="1"/>
  <c r="N925" i="1"/>
  <c r="C925" i="1"/>
  <c r="N924" i="1"/>
  <c r="C924" i="1"/>
  <c r="N923" i="1"/>
  <c r="C923" i="1"/>
  <c r="N922" i="1"/>
  <c r="C922" i="1"/>
  <c r="N921" i="1"/>
  <c r="C921" i="1"/>
  <c r="N920" i="1"/>
  <c r="C920" i="1"/>
  <c r="N919" i="1"/>
  <c r="C919" i="1"/>
  <c r="N918" i="1"/>
  <c r="C918" i="1"/>
  <c r="N917" i="1"/>
  <c r="C917" i="1"/>
  <c r="N916" i="1"/>
  <c r="C916" i="1"/>
  <c r="N915" i="1"/>
  <c r="C915" i="1"/>
  <c r="N914" i="1"/>
  <c r="C914" i="1"/>
  <c r="N913" i="1"/>
  <c r="C913" i="1"/>
  <c r="N912" i="1"/>
  <c r="C912" i="1"/>
  <c r="N911" i="1"/>
  <c r="C911" i="1"/>
  <c r="N910" i="1"/>
  <c r="C910" i="1"/>
  <c r="N909" i="1"/>
  <c r="C909" i="1"/>
  <c r="N908" i="1"/>
  <c r="C908" i="1"/>
  <c r="N907" i="1"/>
  <c r="C907" i="1"/>
  <c r="N906" i="1"/>
  <c r="C906" i="1"/>
  <c r="N905" i="1"/>
  <c r="C905" i="1"/>
  <c r="N904" i="1"/>
  <c r="C904" i="1"/>
  <c r="N903" i="1"/>
  <c r="C903" i="1"/>
  <c r="N902" i="1"/>
  <c r="C902" i="1"/>
  <c r="N901" i="1"/>
  <c r="C901" i="1"/>
  <c r="N900" i="1"/>
  <c r="C900" i="1"/>
  <c r="N899" i="1"/>
  <c r="C899" i="1"/>
  <c r="N898" i="1"/>
  <c r="C898" i="1"/>
  <c r="N897" i="1"/>
  <c r="C897" i="1"/>
  <c r="N896" i="1"/>
  <c r="C896" i="1"/>
  <c r="N895" i="1"/>
  <c r="C895" i="1"/>
  <c r="N894" i="1"/>
  <c r="C894" i="1"/>
  <c r="N893" i="1"/>
  <c r="C893" i="1"/>
  <c r="N892" i="1"/>
  <c r="C892" i="1"/>
  <c r="N891" i="1"/>
  <c r="C891" i="1"/>
  <c r="N890" i="1"/>
  <c r="C890" i="1"/>
  <c r="N889" i="1"/>
  <c r="C889" i="1"/>
  <c r="N888" i="1"/>
  <c r="C888" i="1"/>
  <c r="N887" i="1"/>
  <c r="C887" i="1"/>
  <c r="N886" i="1"/>
  <c r="C886" i="1"/>
  <c r="N885" i="1"/>
  <c r="C885" i="1"/>
  <c r="N884" i="1"/>
  <c r="C884" i="1"/>
  <c r="N883" i="1"/>
  <c r="C883" i="1"/>
  <c r="N882" i="1"/>
  <c r="C882" i="1"/>
  <c r="N881" i="1"/>
  <c r="C881" i="1"/>
  <c r="N880" i="1"/>
  <c r="C880" i="1"/>
  <c r="N879" i="1"/>
  <c r="C879" i="1"/>
  <c r="N878" i="1"/>
  <c r="C878" i="1"/>
  <c r="N877" i="1"/>
  <c r="C877" i="1"/>
  <c r="N876" i="1"/>
  <c r="C876" i="1"/>
  <c r="N875" i="1"/>
  <c r="C875" i="1"/>
  <c r="N874" i="1"/>
  <c r="C874" i="1"/>
  <c r="N873" i="1"/>
  <c r="C873" i="1"/>
  <c r="N872" i="1"/>
  <c r="C872" i="1"/>
  <c r="N871" i="1"/>
  <c r="C871" i="1"/>
  <c r="N870" i="1"/>
  <c r="C870" i="1"/>
  <c r="N869" i="1"/>
  <c r="C869" i="1"/>
  <c r="N868" i="1"/>
  <c r="C868" i="1"/>
  <c r="N867" i="1"/>
  <c r="C867" i="1"/>
  <c r="N866" i="1"/>
  <c r="C866" i="1"/>
  <c r="N865" i="1"/>
  <c r="C865" i="1"/>
  <c r="N864" i="1"/>
  <c r="C864" i="1"/>
  <c r="N863" i="1"/>
  <c r="C863" i="1"/>
  <c r="N862" i="1"/>
  <c r="C862" i="1"/>
  <c r="N861" i="1"/>
  <c r="C861" i="1"/>
  <c r="N860" i="1"/>
  <c r="C860" i="1"/>
  <c r="N859" i="1"/>
  <c r="C859" i="1"/>
  <c r="N858" i="1"/>
  <c r="C858" i="1"/>
  <c r="N857" i="1"/>
  <c r="C857" i="1"/>
  <c r="N856" i="1"/>
  <c r="C856" i="1"/>
  <c r="N855" i="1"/>
  <c r="C855" i="1"/>
  <c r="N854" i="1"/>
  <c r="C854" i="1"/>
  <c r="N853" i="1"/>
  <c r="C853" i="1"/>
  <c r="N852" i="1"/>
  <c r="C852" i="1"/>
  <c r="N851" i="1"/>
  <c r="C851" i="1"/>
  <c r="N850" i="1"/>
  <c r="C850" i="1"/>
  <c r="N849" i="1"/>
  <c r="C849" i="1"/>
  <c r="N848" i="1"/>
  <c r="C848" i="1"/>
  <c r="N847" i="1"/>
  <c r="C847" i="1"/>
  <c r="N846" i="1"/>
  <c r="C846" i="1"/>
  <c r="N845" i="1"/>
  <c r="C845" i="1"/>
  <c r="N844" i="1"/>
  <c r="C844" i="1"/>
  <c r="N843" i="1"/>
  <c r="C843" i="1"/>
  <c r="N842" i="1"/>
  <c r="C842" i="1"/>
  <c r="N841" i="1"/>
  <c r="C841" i="1"/>
  <c r="N840" i="1"/>
  <c r="C840" i="1"/>
  <c r="N839" i="1"/>
  <c r="C839" i="1"/>
  <c r="N838" i="1"/>
  <c r="C838" i="1"/>
  <c r="N837" i="1"/>
  <c r="C837" i="1"/>
  <c r="N836" i="1"/>
  <c r="C836" i="1"/>
  <c r="N835" i="1"/>
  <c r="C835" i="1"/>
  <c r="N834" i="1"/>
  <c r="C834" i="1"/>
  <c r="N833" i="1"/>
  <c r="C833" i="1"/>
  <c r="N832" i="1"/>
  <c r="C832" i="1"/>
  <c r="N831" i="1"/>
  <c r="C831" i="1"/>
  <c r="N830" i="1"/>
  <c r="C830" i="1"/>
  <c r="N829" i="1"/>
  <c r="C829" i="1"/>
  <c r="N828" i="1"/>
  <c r="C828" i="1"/>
  <c r="N827" i="1"/>
  <c r="C827" i="1"/>
  <c r="N826" i="1"/>
  <c r="C826" i="1"/>
  <c r="N825" i="1"/>
  <c r="C825" i="1"/>
  <c r="N824" i="1"/>
  <c r="C824" i="1"/>
  <c r="N823" i="1"/>
  <c r="C823" i="1"/>
  <c r="N822" i="1"/>
  <c r="C822" i="1"/>
  <c r="N821" i="1"/>
  <c r="C821" i="1"/>
  <c r="N820" i="1"/>
  <c r="C820" i="1"/>
  <c r="N819" i="1"/>
  <c r="C819" i="1"/>
  <c r="N818" i="1"/>
  <c r="C818" i="1"/>
  <c r="N817" i="1"/>
  <c r="C817" i="1"/>
  <c r="N816" i="1"/>
  <c r="C816" i="1"/>
  <c r="N815" i="1"/>
  <c r="C815" i="1"/>
  <c r="N814" i="1"/>
  <c r="C814" i="1"/>
  <c r="N813" i="1"/>
  <c r="C813" i="1"/>
  <c r="N812" i="1"/>
  <c r="C812" i="1"/>
  <c r="N811" i="1"/>
  <c r="C811" i="1"/>
  <c r="N810" i="1"/>
  <c r="C810" i="1"/>
  <c r="N809" i="1"/>
  <c r="C809" i="1"/>
  <c r="N808" i="1"/>
  <c r="C808" i="1"/>
  <c r="N807" i="1"/>
  <c r="C807" i="1"/>
  <c r="N806" i="1"/>
  <c r="C806" i="1"/>
  <c r="N805" i="1"/>
  <c r="C805" i="1"/>
  <c r="N804" i="1"/>
  <c r="C804" i="1"/>
  <c r="N803" i="1"/>
  <c r="C803" i="1"/>
  <c r="N802" i="1"/>
  <c r="C802" i="1"/>
  <c r="N801" i="1"/>
  <c r="C801" i="1"/>
  <c r="N800" i="1"/>
  <c r="C800" i="1"/>
  <c r="N799" i="1"/>
  <c r="C799" i="1"/>
  <c r="N798" i="1"/>
  <c r="C798" i="1"/>
  <c r="N797" i="1"/>
  <c r="C797" i="1"/>
  <c r="N796" i="1"/>
  <c r="C796" i="1"/>
  <c r="N795" i="1"/>
  <c r="C795" i="1"/>
  <c r="N794" i="1"/>
  <c r="C794" i="1"/>
  <c r="N793" i="1"/>
  <c r="C793" i="1"/>
  <c r="N792" i="1"/>
  <c r="C792" i="1"/>
  <c r="N791" i="1"/>
  <c r="C791" i="1"/>
  <c r="N790" i="1"/>
  <c r="C790" i="1"/>
  <c r="N789" i="1"/>
  <c r="C789" i="1"/>
  <c r="N788" i="1"/>
  <c r="C788" i="1"/>
  <c r="N787" i="1"/>
  <c r="C787" i="1"/>
  <c r="N786" i="1"/>
  <c r="C786" i="1"/>
  <c r="N785" i="1"/>
  <c r="C785" i="1"/>
  <c r="N784" i="1"/>
  <c r="C784" i="1"/>
  <c r="N783" i="1"/>
  <c r="C783" i="1"/>
  <c r="N782" i="1"/>
  <c r="C782" i="1"/>
  <c r="N781" i="1"/>
  <c r="C781" i="1"/>
  <c r="N780" i="1"/>
  <c r="C780" i="1"/>
  <c r="N779" i="1"/>
  <c r="C779" i="1"/>
  <c r="N778" i="1"/>
  <c r="C778" i="1"/>
  <c r="N777" i="1"/>
  <c r="C777" i="1"/>
  <c r="N776" i="1"/>
  <c r="C776" i="1"/>
  <c r="N775" i="1"/>
  <c r="C775" i="1"/>
  <c r="N774" i="1"/>
  <c r="C774" i="1"/>
  <c r="N773" i="1"/>
  <c r="C773" i="1"/>
  <c r="N772" i="1"/>
  <c r="C772" i="1"/>
  <c r="N771" i="1"/>
  <c r="C771" i="1"/>
  <c r="N770" i="1"/>
  <c r="C770" i="1"/>
  <c r="N769" i="1"/>
  <c r="C769" i="1"/>
  <c r="N768" i="1"/>
  <c r="C768" i="1"/>
  <c r="N767" i="1"/>
  <c r="C767" i="1"/>
  <c r="N766" i="1"/>
  <c r="C766" i="1"/>
  <c r="N765" i="1"/>
  <c r="C765" i="1"/>
  <c r="N764" i="1"/>
  <c r="C764" i="1"/>
  <c r="N763" i="1"/>
  <c r="C763" i="1"/>
  <c r="N762" i="1"/>
  <c r="C762" i="1"/>
  <c r="N761" i="1"/>
  <c r="C761" i="1"/>
  <c r="N760" i="1"/>
  <c r="C760" i="1"/>
  <c r="N759" i="1"/>
  <c r="C759" i="1"/>
  <c r="N758" i="1"/>
  <c r="C758" i="1"/>
  <c r="N757" i="1"/>
  <c r="C757" i="1"/>
  <c r="N756" i="1"/>
  <c r="C756" i="1"/>
  <c r="N755" i="1"/>
  <c r="C755" i="1"/>
  <c r="N754" i="1"/>
  <c r="C754" i="1"/>
  <c r="N753" i="1"/>
  <c r="C753" i="1"/>
  <c r="N752" i="1"/>
  <c r="C752" i="1"/>
  <c r="N751" i="1"/>
  <c r="C751" i="1"/>
  <c r="N750" i="1"/>
  <c r="C750" i="1"/>
  <c r="N749" i="1"/>
  <c r="C749" i="1"/>
  <c r="N748" i="1"/>
  <c r="C748" i="1"/>
  <c r="N747" i="1"/>
  <c r="C747" i="1"/>
  <c r="N746" i="1"/>
  <c r="C746" i="1"/>
  <c r="N745" i="1"/>
  <c r="C745" i="1"/>
  <c r="N744" i="1"/>
  <c r="C744" i="1"/>
  <c r="N743" i="1"/>
  <c r="C743" i="1"/>
  <c r="N742" i="1"/>
  <c r="C742" i="1"/>
  <c r="N741" i="1"/>
  <c r="C741" i="1"/>
  <c r="N740" i="1"/>
  <c r="C740" i="1"/>
  <c r="N739" i="1"/>
  <c r="C739" i="1"/>
  <c r="N738" i="1"/>
  <c r="C738" i="1"/>
  <c r="N737" i="1"/>
  <c r="C737" i="1"/>
  <c r="N736" i="1"/>
  <c r="C736" i="1"/>
  <c r="N735" i="1"/>
  <c r="C735" i="1"/>
  <c r="N734" i="1"/>
  <c r="C734" i="1"/>
  <c r="N733" i="1"/>
  <c r="C733" i="1"/>
  <c r="N732" i="1"/>
  <c r="C732" i="1"/>
  <c r="N731" i="1"/>
  <c r="C731" i="1"/>
  <c r="N730" i="1"/>
  <c r="C730" i="1"/>
  <c r="N729" i="1"/>
  <c r="C729" i="1"/>
  <c r="N728" i="1"/>
  <c r="C728" i="1"/>
  <c r="N727" i="1"/>
  <c r="C727" i="1"/>
  <c r="N726" i="1"/>
  <c r="C726" i="1"/>
  <c r="N725" i="1"/>
  <c r="C725" i="1"/>
  <c r="N724" i="1"/>
  <c r="C724" i="1"/>
  <c r="N723" i="1"/>
  <c r="C723" i="1"/>
  <c r="N722" i="1"/>
  <c r="C722" i="1"/>
  <c r="N721" i="1"/>
  <c r="C721" i="1"/>
  <c r="N720" i="1"/>
  <c r="C720" i="1"/>
  <c r="N719" i="1"/>
  <c r="C719" i="1"/>
  <c r="N718" i="1"/>
  <c r="C718" i="1"/>
  <c r="N717" i="1"/>
  <c r="C717" i="1"/>
  <c r="N716" i="1"/>
  <c r="C716" i="1"/>
  <c r="N715" i="1"/>
  <c r="C715" i="1"/>
  <c r="N714" i="1"/>
  <c r="C714" i="1"/>
  <c r="N713" i="1"/>
  <c r="C713" i="1"/>
  <c r="N712" i="1"/>
  <c r="C712" i="1"/>
  <c r="N711" i="1"/>
  <c r="C711" i="1"/>
  <c r="N710" i="1"/>
  <c r="C710" i="1"/>
  <c r="N709" i="1"/>
  <c r="C709" i="1"/>
  <c r="N708" i="1"/>
  <c r="C708" i="1"/>
  <c r="N707" i="1"/>
  <c r="C707" i="1"/>
  <c r="N706" i="1"/>
  <c r="C706" i="1"/>
  <c r="N705" i="1"/>
  <c r="C705" i="1"/>
  <c r="N704" i="1"/>
  <c r="C704" i="1"/>
  <c r="N703" i="1"/>
  <c r="C703" i="1"/>
  <c r="N702" i="1"/>
  <c r="C702" i="1"/>
  <c r="N701" i="1"/>
  <c r="C701" i="1"/>
  <c r="N700" i="1"/>
  <c r="C700" i="1"/>
  <c r="N699" i="1"/>
  <c r="C699" i="1"/>
  <c r="N698" i="1"/>
  <c r="C698" i="1"/>
  <c r="N697" i="1"/>
  <c r="C697" i="1"/>
  <c r="N696" i="1"/>
  <c r="C696" i="1"/>
  <c r="N695" i="1"/>
  <c r="C695" i="1"/>
  <c r="N694" i="1"/>
  <c r="C694" i="1"/>
  <c r="N693" i="1"/>
  <c r="C693" i="1"/>
  <c r="N692" i="1"/>
  <c r="C692" i="1"/>
  <c r="N691" i="1"/>
  <c r="C691" i="1"/>
  <c r="N690" i="1"/>
  <c r="C690" i="1"/>
  <c r="N689" i="1"/>
  <c r="C689" i="1"/>
  <c r="N688" i="1"/>
  <c r="C688" i="1"/>
  <c r="N687" i="1"/>
  <c r="C687" i="1"/>
  <c r="N686" i="1"/>
  <c r="C686" i="1"/>
  <c r="N685" i="1"/>
  <c r="C685" i="1"/>
  <c r="N684" i="1"/>
  <c r="C684" i="1"/>
  <c r="N683" i="1"/>
  <c r="C683" i="1"/>
  <c r="N682" i="1"/>
  <c r="C682" i="1"/>
  <c r="N681" i="1"/>
  <c r="C681" i="1"/>
  <c r="N680" i="1"/>
  <c r="C680" i="1"/>
  <c r="N679" i="1"/>
  <c r="C679" i="1"/>
  <c r="N678" i="1"/>
  <c r="C678" i="1"/>
  <c r="N677" i="1"/>
  <c r="C677" i="1"/>
  <c r="N676" i="1"/>
  <c r="C676" i="1"/>
  <c r="N675" i="1"/>
  <c r="C675" i="1"/>
  <c r="N674" i="1"/>
  <c r="C674" i="1"/>
  <c r="N673" i="1"/>
  <c r="C673" i="1"/>
  <c r="N672" i="1"/>
  <c r="C672" i="1"/>
  <c r="N671" i="1"/>
  <c r="C671" i="1"/>
  <c r="N670" i="1"/>
  <c r="C670" i="1"/>
  <c r="N669" i="1"/>
  <c r="C669" i="1"/>
  <c r="N668" i="1"/>
  <c r="C668" i="1"/>
  <c r="N667" i="1"/>
  <c r="C667" i="1"/>
  <c r="N666" i="1"/>
  <c r="C666" i="1"/>
  <c r="N665" i="1"/>
  <c r="C665" i="1"/>
  <c r="N664" i="1"/>
  <c r="C664" i="1"/>
  <c r="N663" i="1"/>
  <c r="C663" i="1"/>
  <c r="N662" i="1"/>
  <c r="C662" i="1"/>
  <c r="N661" i="1"/>
  <c r="C661" i="1"/>
  <c r="N660" i="1"/>
  <c r="C660" i="1"/>
  <c r="N659" i="1"/>
  <c r="C659" i="1"/>
  <c r="N658" i="1"/>
  <c r="C658" i="1"/>
  <c r="N657" i="1"/>
  <c r="C657" i="1"/>
  <c r="N656" i="1"/>
  <c r="C656" i="1"/>
  <c r="N655" i="1"/>
  <c r="C655" i="1"/>
  <c r="N654" i="1"/>
  <c r="C654" i="1"/>
  <c r="N653" i="1"/>
  <c r="C653" i="1"/>
  <c r="N652" i="1"/>
  <c r="C652" i="1"/>
  <c r="N651" i="1"/>
  <c r="C651" i="1"/>
  <c r="N650" i="1"/>
  <c r="C650" i="1"/>
  <c r="N649" i="1"/>
  <c r="C649" i="1"/>
  <c r="N648" i="1"/>
  <c r="C648" i="1"/>
  <c r="N647" i="1"/>
  <c r="C647" i="1"/>
  <c r="N646" i="1"/>
  <c r="C646" i="1"/>
  <c r="N645" i="1"/>
  <c r="C645" i="1"/>
  <c r="N644" i="1"/>
  <c r="C644" i="1"/>
  <c r="N643" i="1"/>
  <c r="C643" i="1"/>
  <c r="N642" i="1"/>
  <c r="C642" i="1"/>
  <c r="N641" i="1"/>
  <c r="C641" i="1"/>
  <c r="N640" i="1"/>
  <c r="C640" i="1"/>
  <c r="N639" i="1"/>
  <c r="C639" i="1"/>
  <c r="N638" i="1"/>
  <c r="C638" i="1"/>
  <c r="N637" i="1"/>
  <c r="C637" i="1"/>
  <c r="N636" i="1"/>
  <c r="C636" i="1"/>
  <c r="N635" i="1"/>
  <c r="C635" i="1"/>
  <c r="N634" i="1"/>
  <c r="C634" i="1"/>
  <c r="N633" i="1"/>
  <c r="C633" i="1"/>
  <c r="N632" i="1"/>
  <c r="C632" i="1"/>
  <c r="N631" i="1"/>
  <c r="C631" i="1"/>
  <c r="N630" i="1"/>
  <c r="C630" i="1"/>
  <c r="N629" i="1"/>
  <c r="C629" i="1"/>
  <c r="N628" i="1"/>
  <c r="C628" i="1"/>
  <c r="N627" i="1"/>
  <c r="C627" i="1"/>
  <c r="N626" i="1"/>
  <c r="C626" i="1"/>
  <c r="N625" i="1"/>
  <c r="C625" i="1"/>
  <c r="N624" i="1"/>
  <c r="C624" i="1"/>
  <c r="N623" i="1"/>
  <c r="C623" i="1"/>
  <c r="N622" i="1"/>
  <c r="C622" i="1"/>
  <c r="N621" i="1"/>
  <c r="C621" i="1"/>
  <c r="N620" i="1"/>
  <c r="C620" i="1"/>
  <c r="N619" i="1"/>
  <c r="C619" i="1"/>
  <c r="N618" i="1"/>
  <c r="C618" i="1"/>
  <c r="N617" i="1"/>
  <c r="C617" i="1"/>
  <c r="N616" i="1"/>
  <c r="C616" i="1"/>
  <c r="N615" i="1"/>
  <c r="C615" i="1"/>
  <c r="N614" i="1"/>
  <c r="C614" i="1"/>
  <c r="N613" i="1"/>
  <c r="C613" i="1"/>
  <c r="N612" i="1"/>
  <c r="C612" i="1"/>
  <c r="N611" i="1"/>
  <c r="C611" i="1"/>
  <c r="N610" i="1"/>
  <c r="C610" i="1"/>
  <c r="N609" i="1"/>
  <c r="C609" i="1"/>
  <c r="N608" i="1"/>
  <c r="C608" i="1"/>
  <c r="N607" i="1"/>
  <c r="C607" i="1"/>
  <c r="N606" i="1"/>
  <c r="C606" i="1"/>
  <c r="N605" i="1"/>
  <c r="C605" i="1"/>
  <c r="N604" i="1"/>
  <c r="C604" i="1"/>
  <c r="N603" i="1"/>
  <c r="C603" i="1"/>
  <c r="N602" i="1"/>
  <c r="C602" i="1"/>
  <c r="N601" i="1"/>
  <c r="C601" i="1"/>
  <c r="N600" i="1"/>
  <c r="C600" i="1"/>
  <c r="N599" i="1"/>
  <c r="C599" i="1"/>
  <c r="N598" i="1"/>
  <c r="C598" i="1"/>
  <c r="N597" i="1"/>
  <c r="C597" i="1"/>
  <c r="N596" i="1"/>
  <c r="C596" i="1"/>
  <c r="N595" i="1"/>
  <c r="C595" i="1"/>
  <c r="N594" i="1"/>
  <c r="C594" i="1"/>
  <c r="N593" i="1"/>
  <c r="C593" i="1"/>
  <c r="N592" i="1"/>
  <c r="C592" i="1"/>
  <c r="N591" i="1"/>
  <c r="C591" i="1"/>
  <c r="N590" i="1"/>
  <c r="C590" i="1"/>
  <c r="N589" i="1"/>
  <c r="C589" i="1"/>
  <c r="N588" i="1"/>
  <c r="C588" i="1"/>
  <c r="N587" i="1"/>
  <c r="C587" i="1"/>
  <c r="N586" i="1"/>
  <c r="C586" i="1"/>
  <c r="N585" i="1"/>
  <c r="C585" i="1"/>
  <c r="N584" i="1"/>
  <c r="C584" i="1"/>
  <c r="N583" i="1"/>
  <c r="C583" i="1"/>
  <c r="N582" i="1"/>
  <c r="C582" i="1"/>
  <c r="N581" i="1"/>
  <c r="C581" i="1"/>
  <c r="N580" i="1"/>
  <c r="C580" i="1"/>
  <c r="N579" i="1"/>
  <c r="C579" i="1"/>
  <c r="N578" i="1"/>
  <c r="C578" i="1"/>
  <c r="N577" i="1"/>
  <c r="C577" i="1"/>
  <c r="N576" i="1"/>
  <c r="C576" i="1"/>
  <c r="N575" i="1"/>
  <c r="C575" i="1"/>
  <c r="N574" i="1"/>
  <c r="C574" i="1"/>
  <c r="N573" i="1"/>
  <c r="C573" i="1"/>
  <c r="N572" i="1"/>
  <c r="C572" i="1"/>
  <c r="N571" i="1"/>
  <c r="C571" i="1"/>
  <c r="N570" i="1"/>
  <c r="C570" i="1"/>
  <c r="N569" i="1"/>
  <c r="C569" i="1"/>
  <c r="N568" i="1"/>
  <c r="C568" i="1"/>
  <c r="N567" i="1"/>
  <c r="C567" i="1"/>
  <c r="N566" i="1"/>
  <c r="C566" i="1"/>
  <c r="N565" i="1"/>
  <c r="C565" i="1"/>
  <c r="N564" i="1"/>
  <c r="C564" i="1"/>
  <c r="N563" i="1"/>
  <c r="C563" i="1"/>
  <c r="N562" i="1"/>
  <c r="C562" i="1"/>
  <c r="N561" i="1"/>
  <c r="C561" i="1"/>
  <c r="N560" i="1"/>
  <c r="C560" i="1"/>
  <c r="N559" i="1"/>
  <c r="C559" i="1"/>
  <c r="N558" i="1"/>
  <c r="C558" i="1"/>
  <c r="N557" i="1"/>
  <c r="C557" i="1"/>
  <c r="N556" i="1"/>
  <c r="C556" i="1"/>
  <c r="N555" i="1"/>
  <c r="C555" i="1"/>
  <c r="N554" i="1"/>
  <c r="C554" i="1"/>
  <c r="N553" i="1"/>
  <c r="C553" i="1"/>
  <c r="N552" i="1"/>
  <c r="C552" i="1"/>
  <c r="N551" i="1"/>
  <c r="C551" i="1"/>
  <c r="N550" i="1"/>
  <c r="C550" i="1"/>
  <c r="N549" i="1"/>
  <c r="C549" i="1"/>
  <c r="N548" i="1"/>
  <c r="C548" i="1"/>
  <c r="N547" i="1"/>
  <c r="C547" i="1"/>
  <c r="N546" i="1"/>
  <c r="C546" i="1"/>
  <c r="N545" i="1"/>
  <c r="C545" i="1"/>
  <c r="N544" i="1"/>
  <c r="C544" i="1"/>
  <c r="N543" i="1"/>
  <c r="C543" i="1"/>
  <c r="N542" i="1"/>
  <c r="C542" i="1"/>
  <c r="N541" i="1"/>
  <c r="C541" i="1"/>
  <c r="N540" i="1"/>
  <c r="C540" i="1"/>
  <c r="N539" i="1"/>
  <c r="C539" i="1"/>
  <c r="N538" i="1"/>
  <c r="C538" i="1"/>
  <c r="N537" i="1"/>
  <c r="C537" i="1"/>
  <c r="N536" i="1"/>
  <c r="C536" i="1"/>
  <c r="N535" i="1"/>
  <c r="C535" i="1"/>
  <c r="N534" i="1"/>
  <c r="C534" i="1"/>
  <c r="N533" i="1"/>
  <c r="C533" i="1"/>
  <c r="N532" i="1"/>
  <c r="C532" i="1"/>
  <c r="N531" i="1"/>
  <c r="C531" i="1"/>
  <c r="N530" i="1"/>
  <c r="C530" i="1"/>
  <c r="N529" i="1"/>
  <c r="C529" i="1"/>
  <c r="N528" i="1"/>
  <c r="C528" i="1"/>
  <c r="N527" i="1"/>
  <c r="C527" i="1"/>
  <c r="N526" i="1"/>
  <c r="C526" i="1"/>
  <c r="N525" i="1"/>
  <c r="C525" i="1"/>
  <c r="N524" i="1"/>
  <c r="C524" i="1"/>
  <c r="N523" i="1"/>
  <c r="C523" i="1"/>
  <c r="N522" i="1"/>
  <c r="C522" i="1"/>
  <c r="N521" i="1"/>
  <c r="C521" i="1"/>
  <c r="N520" i="1"/>
  <c r="C520" i="1"/>
  <c r="N519" i="1"/>
  <c r="C519" i="1"/>
  <c r="N518" i="1"/>
  <c r="C518" i="1"/>
  <c r="N517" i="1"/>
  <c r="C517" i="1"/>
  <c r="N516" i="1"/>
  <c r="C516" i="1"/>
  <c r="N515" i="1"/>
  <c r="C515" i="1"/>
  <c r="N514" i="1"/>
  <c r="C514" i="1"/>
  <c r="N513" i="1"/>
  <c r="C513" i="1"/>
  <c r="N512" i="1"/>
  <c r="C512" i="1"/>
  <c r="N511" i="1"/>
  <c r="C511" i="1"/>
  <c r="N510" i="1"/>
  <c r="C510" i="1"/>
  <c r="N509" i="1"/>
  <c r="C509" i="1"/>
  <c r="N508" i="1"/>
  <c r="C508" i="1"/>
  <c r="N507" i="1"/>
  <c r="C507" i="1"/>
  <c r="N506" i="1"/>
  <c r="C506" i="1"/>
  <c r="N505" i="1"/>
  <c r="C505" i="1"/>
  <c r="N504" i="1"/>
  <c r="C504" i="1"/>
  <c r="N503" i="1"/>
  <c r="C503" i="1"/>
  <c r="N502" i="1"/>
  <c r="C502" i="1"/>
  <c r="N501" i="1"/>
  <c r="C501" i="1"/>
  <c r="N500" i="1"/>
  <c r="C500" i="1"/>
  <c r="N499" i="1"/>
  <c r="C499" i="1"/>
  <c r="N498" i="1"/>
  <c r="C498" i="1"/>
  <c r="N497" i="1"/>
  <c r="C497" i="1"/>
  <c r="N496" i="1"/>
  <c r="C496" i="1"/>
  <c r="N495" i="1"/>
  <c r="C495" i="1"/>
  <c r="N494" i="1"/>
  <c r="C494" i="1"/>
  <c r="N493" i="1"/>
  <c r="C493" i="1"/>
  <c r="N492" i="1"/>
  <c r="C492" i="1"/>
  <c r="N491" i="1"/>
  <c r="C491" i="1"/>
  <c r="N490" i="1"/>
  <c r="C490" i="1"/>
  <c r="N489" i="1"/>
  <c r="C489" i="1"/>
  <c r="N488" i="1"/>
  <c r="C488" i="1"/>
  <c r="N487" i="1"/>
  <c r="C487" i="1"/>
  <c r="N486" i="1"/>
  <c r="C486" i="1"/>
  <c r="N485" i="1"/>
  <c r="C485" i="1"/>
  <c r="N484" i="1"/>
  <c r="C484" i="1"/>
  <c r="N483" i="1"/>
  <c r="C483" i="1"/>
  <c r="N482" i="1"/>
  <c r="C482" i="1"/>
  <c r="N481" i="1"/>
  <c r="C481" i="1"/>
  <c r="N480" i="1"/>
  <c r="C480" i="1"/>
  <c r="N479" i="1"/>
  <c r="C479" i="1"/>
  <c r="N478" i="1"/>
  <c r="C478" i="1"/>
  <c r="N477" i="1"/>
  <c r="C477" i="1"/>
  <c r="N476" i="1"/>
  <c r="C476" i="1"/>
  <c r="N475" i="1"/>
  <c r="C475" i="1"/>
  <c r="N474" i="1"/>
  <c r="C474" i="1"/>
  <c r="N473" i="1"/>
  <c r="C473" i="1"/>
  <c r="N472" i="1"/>
  <c r="C472" i="1"/>
  <c r="N471" i="1"/>
  <c r="C471" i="1"/>
  <c r="N470" i="1"/>
  <c r="C470" i="1"/>
  <c r="N469" i="1"/>
  <c r="C469" i="1"/>
  <c r="N468" i="1"/>
  <c r="C468" i="1"/>
  <c r="N467" i="1"/>
  <c r="C467" i="1"/>
  <c r="N466" i="1"/>
  <c r="C466" i="1"/>
  <c r="N465" i="1"/>
  <c r="C465" i="1"/>
  <c r="N464" i="1"/>
  <c r="C464" i="1"/>
  <c r="N463" i="1"/>
  <c r="C463" i="1"/>
  <c r="N462" i="1"/>
  <c r="C462" i="1"/>
  <c r="N461" i="1"/>
  <c r="C461" i="1"/>
  <c r="N460" i="1"/>
  <c r="C460" i="1"/>
  <c r="N459" i="1"/>
  <c r="C459" i="1"/>
  <c r="N458" i="1"/>
  <c r="C458" i="1"/>
  <c r="N457" i="1"/>
  <c r="C457" i="1"/>
  <c r="N456" i="1"/>
  <c r="C456" i="1"/>
  <c r="N455" i="1"/>
  <c r="C455" i="1"/>
  <c r="N454" i="1"/>
  <c r="C454" i="1"/>
  <c r="N453" i="1"/>
  <c r="C453" i="1"/>
  <c r="N452" i="1"/>
  <c r="C452" i="1"/>
  <c r="N451" i="1"/>
  <c r="C451" i="1"/>
  <c r="N450" i="1"/>
  <c r="C450" i="1"/>
  <c r="N449" i="1"/>
  <c r="C449" i="1"/>
  <c r="N448" i="1"/>
  <c r="C448" i="1"/>
  <c r="N447" i="1"/>
  <c r="C447" i="1"/>
  <c r="N446" i="1"/>
  <c r="C446" i="1"/>
  <c r="N445" i="1"/>
  <c r="C445" i="1"/>
  <c r="N444" i="1"/>
  <c r="C444" i="1"/>
  <c r="N443" i="1"/>
  <c r="C443" i="1"/>
  <c r="N442" i="1"/>
  <c r="C442" i="1"/>
  <c r="N441" i="1"/>
  <c r="C441" i="1"/>
  <c r="N440" i="1"/>
  <c r="C440" i="1"/>
  <c r="N439" i="1"/>
  <c r="C439" i="1"/>
  <c r="N438" i="1"/>
  <c r="C438" i="1"/>
  <c r="N437" i="1"/>
  <c r="C437" i="1"/>
  <c r="N436" i="1"/>
  <c r="C436" i="1"/>
  <c r="N435" i="1"/>
  <c r="C435" i="1"/>
  <c r="N434" i="1"/>
  <c r="C434" i="1"/>
  <c r="N433" i="1"/>
  <c r="C433" i="1"/>
  <c r="N432" i="1"/>
  <c r="C432" i="1"/>
  <c r="N431" i="1"/>
  <c r="C431" i="1"/>
  <c r="N430" i="1"/>
  <c r="C430" i="1"/>
  <c r="N429" i="1"/>
  <c r="C429" i="1"/>
  <c r="N428" i="1"/>
  <c r="C428" i="1"/>
  <c r="N427" i="1"/>
  <c r="C427" i="1"/>
  <c r="N426" i="1"/>
  <c r="C426" i="1"/>
  <c r="N425" i="1"/>
  <c r="C425" i="1"/>
  <c r="N424" i="1"/>
  <c r="C424" i="1"/>
  <c r="N423" i="1"/>
  <c r="C423" i="1"/>
  <c r="N422" i="1"/>
  <c r="C422" i="1"/>
  <c r="N421" i="1"/>
  <c r="C421" i="1"/>
  <c r="N420" i="1"/>
  <c r="C420" i="1"/>
  <c r="N419" i="1"/>
  <c r="C419" i="1"/>
  <c r="N418" i="1"/>
  <c r="C418" i="1"/>
  <c r="N417" i="1"/>
  <c r="C417" i="1"/>
  <c r="N416" i="1"/>
  <c r="C416" i="1"/>
  <c r="N415" i="1"/>
  <c r="C415" i="1"/>
  <c r="N414" i="1"/>
  <c r="C414" i="1"/>
  <c r="N413" i="1"/>
  <c r="C413" i="1"/>
  <c r="N412" i="1"/>
  <c r="C412" i="1"/>
  <c r="N411" i="1"/>
  <c r="C411" i="1"/>
  <c r="N410" i="1"/>
  <c r="C410" i="1"/>
  <c r="N409" i="1"/>
  <c r="C409" i="1"/>
  <c r="N408" i="1"/>
  <c r="C408" i="1"/>
  <c r="N407" i="1"/>
  <c r="C407" i="1"/>
  <c r="N406" i="1"/>
  <c r="C406" i="1"/>
  <c r="N405" i="1"/>
  <c r="C405" i="1"/>
  <c r="N404" i="1"/>
  <c r="C404" i="1"/>
  <c r="N403" i="1"/>
  <c r="C403" i="1"/>
  <c r="N402" i="1"/>
  <c r="C402" i="1"/>
  <c r="N401" i="1"/>
  <c r="C401" i="1"/>
  <c r="N400" i="1"/>
  <c r="C400" i="1"/>
  <c r="N399" i="1"/>
  <c r="C399" i="1"/>
  <c r="N398" i="1"/>
  <c r="C398" i="1"/>
  <c r="N397" i="1"/>
  <c r="C397" i="1"/>
  <c r="N396" i="1"/>
  <c r="C396" i="1"/>
  <c r="N395" i="1"/>
  <c r="C395" i="1"/>
  <c r="N394" i="1"/>
  <c r="C394" i="1"/>
  <c r="N393" i="1"/>
  <c r="C393" i="1"/>
  <c r="N392" i="1"/>
  <c r="C392" i="1"/>
  <c r="N391" i="1"/>
  <c r="C391" i="1"/>
  <c r="N390" i="1"/>
  <c r="C390" i="1"/>
  <c r="N389" i="1"/>
  <c r="C389" i="1"/>
  <c r="N388" i="1"/>
  <c r="C388" i="1"/>
  <c r="N387" i="1"/>
  <c r="C387" i="1"/>
  <c r="N386" i="1"/>
  <c r="C386" i="1"/>
  <c r="N385" i="1"/>
  <c r="C385" i="1"/>
  <c r="N384" i="1"/>
  <c r="C384" i="1"/>
  <c r="N383" i="1"/>
  <c r="C383" i="1"/>
  <c r="N382" i="1"/>
  <c r="C382" i="1"/>
  <c r="N381" i="1"/>
  <c r="C381" i="1"/>
  <c r="N380" i="1"/>
  <c r="C380" i="1"/>
  <c r="N379" i="1"/>
  <c r="C379" i="1"/>
  <c r="N378" i="1"/>
  <c r="C378" i="1"/>
  <c r="N377" i="1"/>
  <c r="C377" i="1"/>
  <c r="N376" i="1"/>
  <c r="C376" i="1"/>
  <c r="N375" i="1"/>
  <c r="C375" i="1"/>
  <c r="N374" i="1"/>
  <c r="C374" i="1"/>
  <c r="N373" i="1"/>
  <c r="C373" i="1"/>
  <c r="N372" i="1"/>
  <c r="C372" i="1"/>
  <c r="N371" i="1"/>
  <c r="C371" i="1"/>
  <c r="N370" i="1"/>
  <c r="C370" i="1"/>
  <c r="N369" i="1"/>
  <c r="C369" i="1"/>
  <c r="N368" i="1"/>
  <c r="C368" i="1"/>
  <c r="N367" i="1"/>
  <c r="C367" i="1"/>
  <c r="N366" i="1"/>
  <c r="C366" i="1"/>
  <c r="N365" i="1"/>
  <c r="C365" i="1"/>
  <c r="N364" i="1"/>
  <c r="C364" i="1"/>
  <c r="N363" i="1"/>
  <c r="C363" i="1"/>
  <c r="N362" i="1"/>
  <c r="C362" i="1"/>
  <c r="N361" i="1"/>
  <c r="C361" i="1"/>
  <c r="N360" i="1"/>
  <c r="C360" i="1"/>
  <c r="N359" i="1"/>
  <c r="C359" i="1"/>
  <c r="N358" i="1"/>
  <c r="C358" i="1"/>
  <c r="N357" i="1"/>
  <c r="C357" i="1"/>
  <c r="N356" i="1"/>
  <c r="C356" i="1"/>
  <c r="N355" i="1"/>
  <c r="C355" i="1"/>
  <c r="N354" i="1"/>
  <c r="C354" i="1"/>
  <c r="N353" i="1"/>
  <c r="C353" i="1"/>
  <c r="N352" i="1"/>
  <c r="C352" i="1"/>
  <c r="N351" i="1"/>
  <c r="C351" i="1"/>
  <c r="N350" i="1"/>
  <c r="C350" i="1"/>
  <c r="N349" i="1"/>
  <c r="C349" i="1"/>
  <c r="N348" i="1"/>
  <c r="C348" i="1"/>
  <c r="N347" i="1"/>
  <c r="C347" i="1"/>
  <c r="N346" i="1"/>
  <c r="C346" i="1"/>
  <c r="N345" i="1"/>
  <c r="C345" i="1"/>
  <c r="N344" i="1"/>
  <c r="C344" i="1"/>
  <c r="N343" i="1"/>
  <c r="C343" i="1"/>
  <c r="N342" i="1"/>
  <c r="C342" i="1"/>
  <c r="N341" i="1"/>
  <c r="C341" i="1"/>
  <c r="N340" i="1"/>
  <c r="C340" i="1"/>
  <c r="N339" i="1"/>
  <c r="C339" i="1"/>
  <c r="N338" i="1"/>
  <c r="C338" i="1"/>
  <c r="N337" i="1"/>
  <c r="C337" i="1"/>
  <c r="N336" i="1"/>
  <c r="C336" i="1"/>
  <c r="N335" i="1"/>
  <c r="C335" i="1"/>
  <c r="N334" i="1"/>
  <c r="C334" i="1"/>
  <c r="N333" i="1"/>
  <c r="C333" i="1"/>
  <c r="N332" i="1"/>
  <c r="C332" i="1"/>
  <c r="N331" i="1"/>
  <c r="C331" i="1"/>
  <c r="N330" i="1"/>
  <c r="C330" i="1"/>
  <c r="N329" i="1"/>
  <c r="C329" i="1"/>
  <c r="N328" i="1"/>
  <c r="C328" i="1"/>
  <c r="N327" i="1"/>
  <c r="C327" i="1"/>
  <c r="N326" i="1"/>
  <c r="C326" i="1"/>
  <c r="N325" i="1"/>
  <c r="C325" i="1"/>
  <c r="N324" i="1"/>
  <c r="C324" i="1"/>
  <c r="N323" i="1"/>
  <c r="C323" i="1"/>
  <c r="N322" i="1"/>
  <c r="C322" i="1"/>
  <c r="N321" i="1"/>
  <c r="C321" i="1"/>
  <c r="N320" i="1"/>
  <c r="C320" i="1"/>
  <c r="N319" i="1"/>
  <c r="C319" i="1"/>
  <c r="N318" i="1"/>
  <c r="C318" i="1"/>
  <c r="N317" i="1"/>
  <c r="C317" i="1"/>
  <c r="N316" i="1"/>
  <c r="C316" i="1"/>
  <c r="N315" i="1"/>
  <c r="C315" i="1"/>
  <c r="N314" i="1"/>
  <c r="C314" i="1"/>
  <c r="N313" i="1"/>
  <c r="C313" i="1"/>
  <c r="N312" i="1"/>
  <c r="C312" i="1"/>
  <c r="N311" i="1"/>
  <c r="C311" i="1"/>
  <c r="N310" i="1"/>
  <c r="C310" i="1"/>
  <c r="N309" i="1"/>
  <c r="C309" i="1"/>
  <c r="N308" i="1"/>
  <c r="C308" i="1"/>
  <c r="N307" i="1"/>
  <c r="C307" i="1"/>
  <c r="N306" i="1"/>
  <c r="C306" i="1"/>
  <c r="N305" i="1"/>
  <c r="C305" i="1"/>
  <c r="N304" i="1"/>
  <c r="C304" i="1"/>
  <c r="N303" i="1"/>
  <c r="C303" i="1"/>
  <c r="N302" i="1"/>
  <c r="C302" i="1"/>
  <c r="N301" i="1"/>
  <c r="C301" i="1"/>
  <c r="N300" i="1"/>
  <c r="C300" i="1"/>
  <c r="N299" i="1"/>
  <c r="C299" i="1"/>
  <c r="N298" i="1"/>
  <c r="C298" i="1"/>
  <c r="N297" i="1"/>
  <c r="C297" i="1"/>
  <c r="N296" i="1"/>
  <c r="C296" i="1"/>
  <c r="N295" i="1"/>
  <c r="C295" i="1"/>
  <c r="N294" i="1"/>
  <c r="C294" i="1"/>
  <c r="N293" i="1"/>
  <c r="C293" i="1"/>
  <c r="N292" i="1"/>
  <c r="C292" i="1"/>
  <c r="N291" i="1"/>
  <c r="C291" i="1"/>
  <c r="N290" i="1"/>
  <c r="C290" i="1"/>
  <c r="N289" i="1"/>
  <c r="C289" i="1"/>
  <c r="N288" i="1"/>
  <c r="C288" i="1"/>
  <c r="N287" i="1"/>
  <c r="C287" i="1"/>
  <c r="N286" i="1"/>
  <c r="C286" i="1"/>
  <c r="N285" i="1"/>
  <c r="C285" i="1"/>
  <c r="N284" i="1"/>
  <c r="C284" i="1"/>
  <c r="N283" i="1"/>
  <c r="C283" i="1"/>
  <c r="N282" i="1"/>
  <c r="C282" i="1"/>
  <c r="N281" i="1"/>
  <c r="C281" i="1"/>
  <c r="N280" i="1"/>
  <c r="C280" i="1"/>
  <c r="N279" i="1"/>
  <c r="C279" i="1"/>
  <c r="N278" i="1"/>
  <c r="C278" i="1"/>
  <c r="N277" i="1"/>
  <c r="C277" i="1"/>
  <c r="N276" i="1"/>
  <c r="C276" i="1"/>
  <c r="N275" i="1"/>
  <c r="C275" i="1"/>
  <c r="N274" i="1"/>
  <c r="C274" i="1"/>
  <c r="N273" i="1"/>
  <c r="C273" i="1"/>
  <c r="N272" i="1"/>
  <c r="C272" i="1"/>
  <c r="N271" i="1"/>
  <c r="C271" i="1"/>
  <c r="N270" i="1"/>
  <c r="C270" i="1"/>
  <c r="N269" i="1"/>
  <c r="C269" i="1"/>
  <c r="N268" i="1"/>
  <c r="C268" i="1"/>
  <c r="N267" i="1"/>
  <c r="C267" i="1"/>
  <c r="N266" i="1"/>
  <c r="C266" i="1"/>
  <c r="N265" i="1"/>
  <c r="C265" i="1"/>
  <c r="N264" i="1"/>
  <c r="C264" i="1"/>
  <c r="N263" i="1"/>
  <c r="C263" i="1"/>
  <c r="N262" i="1"/>
  <c r="C262" i="1"/>
  <c r="N261" i="1"/>
  <c r="C261" i="1"/>
  <c r="N260" i="1"/>
  <c r="C260" i="1"/>
  <c r="N259" i="1"/>
  <c r="C259" i="1"/>
  <c r="N258" i="1"/>
  <c r="C258" i="1"/>
  <c r="N257" i="1"/>
  <c r="C257" i="1"/>
  <c r="N256" i="1"/>
  <c r="C256" i="1"/>
  <c r="N255" i="1"/>
  <c r="C255" i="1"/>
  <c r="N254" i="1"/>
  <c r="C254" i="1"/>
  <c r="N253" i="1"/>
  <c r="C253" i="1"/>
  <c r="N252" i="1"/>
  <c r="C252" i="1"/>
  <c r="N251" i="1"/>
  <c r="C251" i="1"/>
  <c r="N250" i="1"/>
  <c r="C250" i="1"/>
  <c r="N249" i="1"/>
  <c r="C249" i="1"/>
  <c r="N248" i="1"/>
  <c r="C248" i="1"/>
  <c r="N247" i="1"/>
  <c r="C247" i="1"/>
  <c r="N246" i="1"/>
  <c r="C246" i="1"/>
  <c r="N245" i="1"/>
  <c r="C245" i="1"/>
  <c r="N244" i="1"/>
  <c r="C244" i="1"/>
  <c r="N243" i="1"/>
  <c r="C243" i="1"/>
  <c r="N242" i="1"/>
  <c r="C242" i="1"/>
  <c r="N241" i="1"/>
  <c r="C241" i="1"/>
  <c r="N240" i="1"/>
  <c r="C240" i="1"/>
  <c r="N239" i="1"/>
  <c r="C239" i="1"/>
  <c r="N238" i="1"/>
  <c r="C238" i="1"/>
  <c r="N237" i="1"/>
  <c r="C237" i="1"/>
  <c r="N236" i="1"/>
  <c r="C236" i="1"/>
  <c r="N235" i="1"/>
  <c r="C235" i="1"/>
  <c r="N234" i="1"/>
  <c r="C234" i="1"/>
  <c r="N233" i="1"/>
  <c r="C233" i="1"/>
  <c r="N232" i="1"/>
  <c r="C232" i="1"/>
  <c r="N231" i="1"/>
  <c r="C231" i="1"/>
  <c r="N230" i="1"/>
  <c r="C230" i="1"/>
  <c r="N229" i="1"/>
  <c r="C229" i="1"/>
  <c r="N228" i="1"/>
  <c r="C228" i="1"/>
  <c r="N227" i="1"/>
  <c r="C227" i="1"/>
  <c r="N226" i="1"/>
  <c r="C226" i="1"/>
  <c r="N225" i="1"/>
  <c r="C225" i="1"/>
  <c r="N224" i="1"/>
  <c r="C224" i="1"/>
  <c r="N223" i="1"/>
  <c r="C223" i="1"/>
  <c r="N222" i="1"/>
  <c r="C222" i="1"/>
  <c r="N221" i="1"/>
  <c r="C221" i="1"/>
  <c r="N220" i="1"/>
  <c r="C220" i="1"/>
  <c r="N219" i="1"/>
  <c r="C219" i="1"/>
  <c r="N218" i="1"/>
  <c r="C218" i="1"/>
  <c r="N217" i="1"/>
  <c r="C217" i="1"/>
  <c r="N216" i="1"/>
  <c r="C216" i="1"/>
  <c r="N215" i="1"/>
  <c r="C215" i="1"/>
  <c r="N214" i="1"/>
  <c r="C214" i="1"/>
  <c r="N213" i="1"/>
  <c r="C213" i="1"/>
  <c r="N212" i="1"/>
  <c r="C212" i="1"/>
  <c r="N211" i="1"/>
  <c r="C211" i="1"/>
  <c r="N210" i="1"/>
  <c r="C210" i="1"/>
  <c r="N209" i="1"/>
  <c r="C209" i="1"/>
  <c r="N208" i="1"/>
  <c r="C208" i="1"/>
  <c r="N207" i="1"/>
  <c r="C207" i="1"/>
  <c r="N206" i="1"/>
  <c r="C206" i="1"/>
  <c r="N205" i="1"/>
  <c r="C205" i="1"/>
  <c r="N204" i="1"/>
  <c r="C204" i="1"/>
  <c r="N203" i="1"/>
  <c r="C203" i="1"/>
  <c r="N202" i="1"/>
  <c r="C202" i="1"/>
  <c r="N201" i="1"/>
  <c r="C201" i="1"/>
  <c r="N200" i="1"/>
  <c r="C200" i="1"/>
  <c r="N199" i="1"/>
  <c r="C199" i="1"/>
  <c r="N198" i="1"/>
  <c r="C198" i="1"/>
  <c r="N197" i="1"/>
  <c r="C197" i="1"/>
  <c r="N196" i="1"/>
  <c r="C196" i="1"/>
  <c r="N195" i="1"/>
  <c r="C195" i="1"/>
  <c r="N194" i="1"/>
  <c r="C194" i="1"/>
  <c r="N193" i="1"/>
  <c r="C193" i="1"/>
  <c r="N192" i="1"/>
  <c r="C192" i="1"/>
  <c r="N191" i="1"/>
  <c r="C191" i="1"/>
  <c r="N190" i="1"/>
  <c r="C190" i="1"/>
  <c r="N189" i="1"/>
  <c r="C189" i="1"/>
  <c r="N188" i="1"/>
  <c r="C188" i="1"/>
  <c r="N187" i="1"/>
  <c r="C187" i="1"/>
  <c r="N186" i="1"/>
  <c r="C186" i="1"/>
  <c r="N185" i="1"/>
  <c r="C185" i="1"/>
  <c r="N184" i="1"/>
  <c r="C184" i="1"/>
  <c r="N183" i="1"/>
  <c r="C183" i="1"/>
  <c r="N182" i="1"/>
  <c r="C182" i="1"/>
  <c r="N181" i="1"/>
  <c r="C181" i="1"/>
  <c r="N180" i="1"/>
  <c r="C180" i="1"/>
  <c r="N179" i="1"/>
  <c r="C179" i="1"/>
  <c r="N178" i="1"/>
  <c r="C178" i="1"/>
  <c r="N177" i="1"/>
  <c r="C177" i="1"/>
  <c r="N176" i="1"/>
  <c r="C176" i="1"/>
  <c r="N175" i="1"/>
  <c r="C175" i="1"/>
  <c r="N174" i="1"/>
  <c r="C174" i="1"/>
  <c r="N173" i="1"/>
  <c r="C173" i="1"/>
  <c r="N172" i="1"/>
  <c r="C172" i="1"/>
  <c r="N171" i="1"/>
  <c r="C171" i="1"/>
  <c r="N170" i="1"/>
  <c r="C170" i="1"/>
  <c r="N169" i="1"/>
  <c r="C169" i="1"/>
  <c r="N168" i="1"/>
  <c r="C168" i="1"/>
  <c r="N167" i="1"/>
  <c r="C167" i="1"/>
  <c r="N166" i="1"/>
  <c r="C166" i="1"/>
  <c r="N165" i="1"/>
  <c r="C165" i="1"/>
  <c r="N164" i="1"/>
  <c r="C164" i="1"/>
  <c r="N163" i="1"/>
  <c r="C163" i="1"/>
  <c r="N162" i="1"/>
  <c r="C162" i="1"/>
  <c r="N161" i="1"/>
  <c r="C161" i="1"/>
  <c r="N160" i="1"/>
  <c r="C160" i="1"/>
  <c r="N159" i="1"/>
  <c r="C159" i="1"/>
  <c r="N158" i="1"/>
  <c r="C158" i="1"/>
  <c r="N157" i="1"/>
  <c r="C157" i="1"/>
  <c r="N156" i="1"/>
  <c r="C156" i="1"/>
  <c r="N155" i="1"/>
  <c r="C155" i="1"/>
  <c r="N154" i="1"/>
  <c r="C154" i="1"/>
  <c r="N153" i="1"/>
  <c r="C153" i="1"/>
  <c r="N152" i="1"/>
  <c r="C152" i="1"/>
  <c r="N151" i="1"/>
  <c r="C151" i="1"/>
  <c r="N150" i="1"/>
  <c r="C150" i="1"/>
  <c r="N149" i="1"/>
  <c r="C149" i="1"/>
  <c r="N148" i="1"/>
  <c r="C148" i="1"/>
  <c r="N147" i="1"/>
  <c r="C147" i="1"/>
  <c r="N146" i="1"/>
  <c r="C146" i="1"/>
  <c r="N145" i="1"/>
  <c r="C145" i="1"/>
  <c r="N144" i="1"/>
  <c r="C144" i="1"/>
  <c r="N143" i="1"/>
  <c r="C143" i="1"/>
  <c r="N142" i="1"/>
  <c r="C142" i="1"/>
  <c r="N141" i="1"/>
  <c r="C141" i="1"/>
  <c r="N140" i="1"/>
  <c r="C140" i="1"/>
  <c r="N139" i="1"/>
  <c r="C139" i="1"/>
  <c r="N138" i="1"/>
  <c r="C138" i="1"/>
  <c r="N137" i="1"/>
  <c r="C137" i="1"/>
  <c r="N136" i="1"/>
  <c r="C136" i="1"/>
  <c r="N135" i="1"/>
  <c r="C135" i="1"/>
  <c r="N134" i="1"/>
  <c r="C134" i="1"/>
  <c r="N133" i="1"/>
  <c r="C133" i="1"/>
  <c r="N132" i="1"/>
  <c r="C132" i="1"/>
  <c r="N131" i="1"/>
  <c r="C131" i="1"/>
  <c r="N130" i="1"/>
  <c r="C130" i="1"/>
  <c r="N129" i="1"/>
  <c r="C129" i="1"/>
  <c r="N128" i="1"/>
  <c r="C128" i="1"/>
  <c r="N127" i="1"/>
  <c r="C127" i="1"/>
  <c r="N126" i="1"/>
  <c r="C126" i="1"/>
  <c r="N125" i="1"/>
  <c r="C125" i="1"/>
  <c r="N124" i="1"/>
  <c r="C124" i="1"/>
  <c r="N123" i="1"/>
  <c r="C123" i="1"/>
  <c r="N122" i="1"/>
  <c r="C122" i="1"/>
  <c r="N121" i="1"/>
  <c r="C121" i="1"/>
  <c r="N120" i="1"/>
  <c r="C120" i="1"/>
  <c r="N119" i="1"/>
  <c r="C119" i="1"/>
  <c r="N118" i="1"/>
  <c r="C118" i="1"/>
  <c r="N117" i="1"/>
  <c r="C117" i="1"/>
  <c r="N116" i="1"/>
  <c r="C116" i="1"/>
  <c r="N115" i="1"/>
  <c r="C115" i="1"/>
  <c r="N114" i="1"/>
  <c r="C114" i="1"/>
  <c r="N113" i="1"/>
  <c r="C113" i="1"/>
  <c r="N112" i="1"/>
  <c r="C112" i="1"/>
  <c r="N111" i="1"/>
  <c r="C111" i="1"/>
  <c r="N110" i="1"/>
  <c r="C110" i="1"/>
  <c r="N109" i="1"/>
  <c r="C109" i="1"/>
  <c r="N108" i="1"/>
  <c r="C108" i="1"/>
  <c r="N107" i="1"/>
  <c r="C107" i="1"/>
  <c r="N106" i="1"/>
  <c r="C106" i="1"/>
  <c r="N105" i="1"/>
  <c r="C105" i="1"/>
  <c r="N104" i="1"/>
  <c r="C104" i="1"/>
  <c r="N103" i="1"/>
  <c r="C103" i="1"/>
  <c r="N102" i="1"/>
  <c r="C102" i="1"/>
  <c r="N101" i="1"/>
  <c r="C101" i="1"/>
  <c r="N100" i="1"/>
  <c r="C100" i="1"/>
  <c r="N99" i="1"/>
  <c r="C99" i="1"/>
  <c r="N98" i="1"/>
  <c r="C98" i="1"/>
  <c r="N97" i="1"/>
  <c r="C97" i="1"/>
  <c r="N96" i="1"/>
  <c r="C96" i="1"/>
  <c r="N95" i="1"/>
  <c r="C95" i="1"/>
  <c r="N94" i="1"/>
  <c r="C94" i="1"/>
  <c r="N93" i="1"/>
  <c r="C93" i="1"/>
  <c r="N92" i="1"/>
  <c r="C92" i="1"/>
  <c r="N91" i="1"/>
  <c r="C91" i="1"/>
  <c r="N90" i="1"/>
  <c r="C90" i="1"/>
  <c r="N89" i="1"/>
  <c r="C89" i="1"/>
  <c r="N88" i="1"/>
  <c r="C88" i="1"/>
  <c r="N87" i="1"/>
  <c r="C87" i="1"/>
  <c r="N86" i="1"/>
  <c r="C86" i="1"/>
  <c r="N85" i="1"/>
  <c r="C85" i="1"/>
  <c r="N84" i="1"/>
  <c r="C84" i="1"/>
  <c r="N83" i="1"/>
  <c r="C83" i="1"/>
  <c r="N82" i="1"/>
  <c r="C82" i="1"/>
  <c r="N81" i="1"/>
  <c r="C81" i="1"/>
  <c r="N80" i="1"/>
  <c r="C80" i="1"/>
  <c r="N79" i="1"/>
  <c r="C79" i="1"/>
  <c r="N78" i="1"/>
  <c r="C78" i="1"/>
  <c r="N77" i="1"/>
  <c r="C77" i="1"/>
  <c r="N76" i="1"/>
  <c r="C76" i="1"/>
  <c r="N75" i="1"/>
  <c r="C75" i="1"/>
  <c r="N74" i="1"/>
  <c r="C74" i="1"/>
  <c r="N73" i="1"/>
  <c r="C73" i="1"/>
  <c r="N72" i="1"/>
  <c r="C72" i="1"/>
  <c r="N71" i="1"/>
  <c r="C71" i="1"/>
  <c r="N70" i="1"/>
  <c r="C70" i="1"/>
  <c r="N69" i="1"/>
  <c r="C69" i="1"/>
  <c r="N68" i="1"/>
  <c r="C68" i="1"/>
  <c r="N67" i="1"/>
  <c r="C67" i="1"/>
  <c r="N66" i="1"/>
  <c r="C66" i="1"/>
  <c r="N65" i="1"/>
  <c r="C65" i="1"/>
  <c r="N64" i="1"/>
  <c r="C64" i="1"/>
  <c r="N63" i="1"/>
  <c r="C63" i="1"/>
  <c r="N62" i="1"/>
  <c r="C62" i="1"/>
  <c r="N61" i="1"/>
  <c r="C61" i="1"/>
  <c r="N60" i="1"/>
  <c r="C60" i="1"/>
  <c r="N59" i="1"/>
  <c r="C59" i="1"/>
  <c r="N58" i="1"/>
  <c r="C58" i="1"/>
  <c r="N57" i="1"/>
  <c r="C57" i="1"/>
  <c r="N56" i="1"/>
  <c r="C56" i="1"/>
  <c r="N55" i="1"/>
  <c r="C55" i="1"/>
  <c r="N54" i="1"/>
  <c r="C54" i="1"/>
  <c r="N53" i="1"/>
  <c r="C53" i="1"/>
  <c r="N52" i="1"/>
  <c r="C52" i="1"/>
  <c r="N51" i="1"/>
  <c r="C51" i="1"/>
  <c r="N50" i="1"/>
  <c r="C50" i="1"/>
  <c r="N49" i="1"/>
  <c r="C49" i="1"/>
  <c r="N48" i="1"/>
  <c r="C48" i="1"/>
  <c r="N47" i="1"/>
  <c r="C47" i="1"/>
  <c r="N46" i="1"/>
  <c r="C46" i="1"/>
  <c r="N45" i="1"/>
  <c r="C45" i="1"/>
  <c r="N44" i="1"/>
  <c r="C44" i="1"/>
  <c r="N43" i="1"/>
  <c r="C43" i="1"/>
  <c r="N42" i="1"/>
  <c r="C42" i="1"/>
  <c r="N41" i="1"/>
  <c r="C41" i="1"/>
  <c r="N40" i="1"/>
  <c r="C40" i="1"/>
  <c r="N39" i="1"/>
  <c r="C39" i="1"/>
  <c r="N38" i="1"/>
  <c r="C38" i="1"/>
  <c r="N37" i="1"/>
  <c r="C37" i="1"/>
  <c r="N36" i="1"/>
  <c r="C36" i="1"/>
  <c r="N35" i="1"/>
  <c r="C35" i="1"/>
  <c r="N34" i="1"/>
  <c r="C34" i="1"/>
  <c r="N33" i="1"/>
  <c r="C33" i="1"/>
  <c r="N32" i="1"/>
  <c r="C32" i="1"/>
  <c r="N31" i="1"/>
  <c r="C31" i="1"/>
  <c r="N30" i="1"/>
  <c r="C30" i="1"/>
  <c r="N29" i="1"/>
  <c r="C29" i="1"/>
  <c r="N28" i="1"/>
  <c r="C28" i="1"/>
  <c r="N27" i="1"/>
  <c r="C27" i="1"/>
  <c r="N26" i="1"/>
  <c r="C26" i="1"/>
  <c r="N25" i="1"/>
  <c r="C25" i="1"/>
  <c r="N24" i="1"/>
  <c r="C24" i="1"/>
  <c r="N23" i="1"/>
  <c r="C23" i="1"/>
  <c r="N22" i="1"/>
  <c r="C22" i="1"/>
  <c r="N21" i="1"/>
  <c r="C21" i="1"/>
  <c r="N20" i="1"/>
  <c r="C20" i="1"/>
  <c r="N19" i="1"/>
  <c r="C19" i="1"/>
  <c r="N18" i="1"/>
  <c r="C18" i="1"/>
  <c r="N17" i="1"/>
  <c r="C17" i="1"/>
  <c r="N16" i="1"/>
  <c r="C16" i="1"/>
  <c r="N15" i="1"/>
  <c r="C15" i="1"/>
  <c r="N14" i="1"/>
  <c r="C14" i="1"/>
  <c r="N13" i="1"/>
  <c r="C13" i="1"/>
  <c r="N12" i="1"/>
  <c r="C12" i="1"/>
  <c r="N11" i="1"/>
  <c r="C11" i="1"/>
  <c r="N10" i="1"/>
  <c r="C10" i="1"/>
  <c r="N9" i="1"/>
  <c r="C9" i="1"/>
  <c r="N8" i="1"/>
  <c r="C8" i="1"/>
  <c r="N7" i="1"/>
  <c r="C7" i="1"/>
  <c r="N6" i="1"/>
  <c r="C6" i="1"/>
  <c r="N5" i="1"/>
  <c r="C5" i="1"/>
  <c r="N4" i="1"/>
  <c r="C4" i="1"/>
  <c r="N3" i="1"/>
  <c r="C3" i="1"/>
  <c r="N2" i="1"/>
  <c r="C2" i="1"/>
  <c r="E7" i="3"/>
</calcChain>
</file>

<file path=xl/sharedStrings.xml><?xml version="1.0" encoding="utf-8"?>
<sst xmlns="http://schemas.openxmlformats.org/spreadsheetml/2006/main" count="9605" uniqueCount="1485">
  <si>
    <t>Order ID</t>
  </si>
  <si>
    <t>Value</t>
  </si>
  <si>
    <t>Cost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</si>
  <si>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</si>
  <si>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</si>
  <si>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</si>
  <si>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</si>
  <si>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</si>
  <si>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</si>
  <si>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</si>
  <si>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</si>
  <si>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</si>
  <si>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</si>
  <si>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</si>
  <si>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</si>
  <si>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</si>
  <si>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</si>
  <si>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</si>
  <si>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</si>
  <si>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</si>
  <si>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</si>
  <si>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</si>
  <si>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</si>
  <si>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</si>
  <si>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</si>
  <si>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</si>
  <si>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</si>
  <si>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</si>
  <si>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</si>
  <si>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</si>
  <si>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</si>
  <si>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</si>
  <si>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</si>
  <si>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</si>
  <si>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</si>
  <si>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</si>
  <si>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</si>
  <si>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</si>
  <si>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</si>
  <si>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</si>
  <si>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</si>
  <si>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</si>
  <si>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</si>
  <si>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</si>
  <si>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</si>
  <si>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</si>
  <si>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</si>
  <si>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</si>
  <si>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</si>
  <si>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</si>
  <si>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</si>
  <si>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</si>
  <si>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</si>
  <si>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</si>
  <si>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</si>
  <si>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</si>
  <si>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</si>
  <si>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</si>
  <si>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</si>
  <si>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</si>
  <si>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</si>
  <si>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</si>
  <si>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</si>
  <si>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</si>
  <si>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</si>
  <si>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</si>
  <si>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</si>
  <si>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</si>
  <si>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</si>
  <si>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</si>
  <si>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</si>
  <si>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</si>
  <si>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</si>
  <si>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</si>
  <si>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</si>
  <si>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</si>
  <si>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</si>
  <si>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</si>
  <si>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</si>
  <si>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</si>
  <si>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</si>
  <si>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</si>
  <si>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</si>
  <si>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</si>
  <si>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</si>
  <si>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</si>
  <si>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</si>
  <si>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</si>
  <si>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</si>
  <si>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</si>
  <si>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</si>
  <si>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</si>
  <si>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</si>
  <si>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</si>
  <si>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</si>
  <si>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</si>
  <si>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</si>
  <si>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</si>
  <si>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</si>
  <si>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</si>
  <si>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</si>
  <si>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</si>
  <si>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</si>
  <si>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</si>
  <si>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</si>
  <si>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</si>
  <si>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</si>
  <si>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</si>
  <si>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</si>
  <si>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</si>
  <si>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</si>
  <si>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</si>
  <si>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</si>
  <si>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</si>
  <si>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</si>
  <si>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</si>
  <si>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</si>
  <si>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</si>
  <si>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</si>
  <si>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</si>
  <si>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</si>
  <si>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</si>
  <si>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</si>
  <si>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</si>
  <si>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</si>
  <si>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</si>
  <si>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</si>
  <si>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</si>
  <si>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</si>
  <si>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</si>
  <si>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</si>
  <si>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</si>
  <si>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</si>
  <si>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</si>
  <si>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</si>
  <si>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</si>
  <si>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</si>
  <si>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</si>
  <si>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</si>
  <si>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</si>
  <si>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</si>
  <si>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</si>
  <si>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</si>
  <si>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</si>
  <si>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</si>
  <si>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</si>
  <si>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</si>
  <si>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</si>
  <si>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</si>
  <si>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</si>
  <si>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</si>
  <si>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</si>
  <si>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</si>
  <si>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</si>
  <si>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</si>
  <si>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</si>
  <si>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</si>
  <si>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</si>
  <si>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</si>
  <si>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</si>
  <si>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</si>
  <si>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</si>
  <si>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</si>
  <si>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</si>
  <si>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</si>
  <si>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</si>
  <si>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</si>
  <si>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</si>
  <si>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</si>
  <si>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</si>
  <si>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</si>
  <si>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</si>
  <si>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</si>
  <si>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</si>
  <si>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</si>
  <si>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</si>
  <si>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</si>
  <si>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</si>
  <si>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</si>
  <si>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</si>
  <si>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</si>
  <si>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</si>
  <si>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</si>
  <si>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</si>
  <si>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</si>
  <si>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</si>
  <si>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</si>
  <si>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</si>
  <si>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</si>
  <si>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</si>
  <si>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</si>
  <si>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</si>
  <si>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</si>
  <si>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</si>
  <si>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</si>
  <si>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</si>
  <si>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</si>
  <si>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</si>
  <si>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</si>
  <si>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</si>
  <si>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</si>
  <si>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</si>
  <si>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</si>
  <si>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</si>
  <si>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</si>
  <si>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</si>
  <si>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</si>
  <si>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</si>
  <si>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</si>
  <si>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</si>
  <si>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</si>
  <si>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</si>
  <si>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</si>
  <si>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</si>
  <si>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</si>
  <si>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</si>
  <si>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</si>
  <si>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</si>
  <si>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</si>
  <si>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</si>
  <si>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</si>
  <si>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</si>
  <si>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</si>
  <si>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</si>
  <si>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</si>
  <si>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</si>
  <si>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</si>
  <si>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</si>
  <si>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</si>
  <si>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</si>
  <si>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</si>
  <si>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</si>
  <si>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</si>
  <si>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</si>
  <si>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</si>
  <si>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</si>
  <si>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</si>
  <si>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</si>
  <si>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</si>
  <si>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</si>
  <si>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</si>
  <si>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</si>
  <si>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</si>
  <si>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</si>
  <si>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</si>
  <si>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</si>
  <si>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</si>
  <si>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</si>
  <si>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</si>
  <si>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</si>
  <si>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</si>
  <si>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</si>
  <si>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</si>
  <si>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</si>
  <si>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</si>
  <si>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</si>
  <si>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</si>
  <si>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</si>
  <si>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</si>
  <si>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</si>
  <si>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</si>
  <si>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</si>
  <si>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</si>
  <si>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</si>
  <si>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</si>
  <si>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</si>
  <si>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</si>
  <si>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</si>
  <si>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</si>
  <si>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</si>
  <si>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</si>
  <si>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</si>
  <si>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</si>
  <si>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</si>
  <si>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</si>
  <si>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</si>
  <si>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</si>
  <si>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</si>
  <si>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</si>
  <si>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</si>
  <si>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</si>
  <si>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</si>
  <si>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</si>
  <si>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</si>
  <si>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</si>
  <si>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</si>
  <si>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</si>
  <si>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</si>
  <si>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</si>
  <si>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</si>
  <si>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</si>
  <si>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</si>
  <si>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</si>
  <si>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</si>
  <si>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</si>
  <si>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</si>
  <si>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</si>
  <si>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</si>
  <si>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</si>
  <si>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</si>
  <si>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</si>
  <si>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</si>
  <si>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</si>
  <si>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</si>
  <si>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</si>
  <si>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</si>
  <si>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</si>
  <si>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</si>
  <si>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</si>
  <si>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</si>
  <si>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</si>
  <si>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</si>
  <si>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</si>
  <si>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</si>
  <si>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</si>
  <si>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</si>
  <si>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</si>
  <si>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</si>
  <si>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</si>
  <si>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</si>
  <si>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</si>
  <si>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</si>
  <si>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</si>
  <si>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</si>
  <si>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</si>
  <si>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</si>
  <si>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</si>
  <si>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</si>
  <si>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</si>
  <si>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</si>
  <si>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</si>
  <si>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</si>
  <si>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</si>
  <si>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</si>
  <si>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</si>
  <si>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</si>
  <si>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</si>
  <si>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</si>
  <si>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</si>
  <si>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</si>
  <si>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</si>
  <si>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</si>
  <si>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</si>
  <si>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</si>
  <si>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</si>
  <si>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</si>
  <si>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</si>
  <si>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</si>
  <si>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</si>
  <si>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</si>
  <si>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</si>
  <si>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</si>
  <si>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</si>
  <si>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</si>
  <si>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</si>
  <si>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</si>
  <si>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</si>
  <si>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</si>
  <si>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</si>
  <si>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</si>
  <si>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</si>
  <si>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</si>
  <si>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</si>
  <si>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</si>
  <si>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</si>
  <si>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</si>
  <si>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</si>
  <si>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</si>
  <si>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</si>
  <si>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</si>
  <si>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</si>
  <si>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</si>
  <si>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</si>
  <si>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</si>
  <si>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</si>
  <si>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</si>
  <si>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</si>
  <si>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</si>
  <si>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</si>
  <si>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</si>
  <si>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</si>
  <si>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</si>
  <si>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</si>
  <si>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</si>
  <si>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</si>
  <si>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</si>
  <si>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</si>
  <si>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</si>
  <si>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</si>
  <si>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</si>
  <si>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</si>
  <si>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</si>
  <si>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</si>
  <si>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</si>
  <si>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</si>
  <si>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</si>
  <si>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</si>
  <si>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</si>
  <si>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</si>
  <si>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</si>
  <si>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</si>
  <si>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</si>
  <si>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</si>
  <si>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</si>
  <si>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</si>
  <si>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</si>
  <si>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</si>
  <si>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</si>
  <si>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</si>
  <si>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</si>
  <si>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</si>
  <si>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</si>
  <si>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</si>
  <si>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</si>
  <si>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</si>
  <si>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</si>
  <si>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</si>
  <si>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</si>
  <si>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</si>
  <si>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</si>
  <si>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</si>
  <si>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</si>
  <si>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</si>
  <si>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</si>
  <si>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</si>
  <si>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</si>
  <si>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</si>
  <si>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</si>
  <si>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</si>
  <si>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</si>
  <si>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</si>
  <si>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</si>
  <si>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</si>
  <si>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</si>
  <si>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</si>
  <si>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</si>
  <si>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</si>
  <si>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</si>
  <si>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</si>
  <si>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</si>
  <si>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</si>
  <si>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</si>
  <si>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</si>
  <si>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</si>
  <si>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</si>
  <si>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</si>
  <si>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</si>
  <si>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</si>
  <si>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</si>
  <si>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</si>
  <si>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</si>
  <si>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</si>
  <si>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</si>
  <si>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</si>
  <si>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</si>
  <si>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</si>
  <si>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</si>
  <si>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</si>
  <si>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</si>
  <si>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</si>
  <si>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</si>
  <si>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</si>
  <si>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</si>
  <si>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</si>
  <si>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</si>
  <si>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</si>
  <si>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</si>
  <si>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</si>
  <si>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</si>
  <si>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</si>
  <si>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</si>
  <si>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</si>
  <si>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</si>
  <si>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</si>
  <si>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</si>
  <si>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</si>
  <si>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</si>
  <si>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</si>
  <si>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</si>
  <si>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</si>
  <si>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</si>
  <si>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</si>
  <si>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</si>
  <si>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</si>
  <si>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</si>
  <si>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</si>
  <si>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</si>
  <si>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</si>
  <si>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</si>
  <si>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</si>
  <si>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</si>
  <si>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</si>
  <si>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</si>
  <si>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</si>
  <si>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</si>
  <si>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</si>
  <si>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</si>
  <si>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</si>
  <si>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</si>
  <si>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</si>
  <si>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</si>
  <si>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</si>
  <si>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</si>
  <si>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</si>
  <si>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</si>
  <si>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</si>
  <si>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</si>
  <si>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</si>
  <si>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</si>
  <si>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</si>
  <si>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</si>
  <si>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</si>
  <si>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</si>
  <si>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</si>
  <si>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</si>
  <si>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</si>
  <si>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</si>
  <si>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</si>
  <si>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</si>
  <si>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</si>
  <si>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</si>
  <si>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</si>
  <si>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</si>
  <si>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</si>
  <si>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</si>
  <si>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</si>
  <si>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</si>
  <si>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</si>
  <si>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</si>
  <si>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</si>
  <si>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</si>
  <si>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</si>
  <si>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</si>
  <si>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</si>
  <si>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</si>
  <si>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</si>
  <si>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</si>
  <si>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</si>
  <si>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</si>
  <si>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</si>
  <si>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</si>
  <si>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</si>
  <si>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</si>
  <si>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</si>
  <si>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</si>
  <si>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</si>
  <si>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</si>
  <si>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</si>
  <si>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</si>
  <si>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</si>
  <si>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</si>
  <si>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</si>
  <si>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</si>
  <si>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</si>
  <si>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</si>
  <si>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</si>
  <si>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</si>
  <si>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</si>
  <si>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</si>
  <si>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</si>
  <si>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</si>
  <si>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</si>
  <si>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</si>
  <si>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</si>
  <si>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</si>
  <si>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</si>
  <si>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</si>
  <si>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</si>
  <si>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</si>
  <si>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</si>
  <si>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</si>
  <si>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</si>
  <si>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</si>
  <si>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</si>
  <si>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</si>
  <si>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</si>
  <si>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</si>
  <si>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</si>
  <si>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</si>
  <si>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</si>
  <si>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</si>
  <si>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</si>
  <si>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</si>
  <si>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</si>
  <si>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</si>
  <si>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</si>
  <si>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</si>
  <si>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</si>
  <si>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</si>
  <si>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</si>
  <si>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</si>
  <si>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</si>
  <si>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</si>
  <si>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</si>
  <si>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</si>
  <si>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</si>
  <si>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</si>
  <si>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</si>
  <si>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</si>
  <si>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</si>
  <si>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</si>
  <si>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</si>
  <si>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</si>
  <si>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</si>
  <si>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</si>
  <si>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</si>
  <si>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</si>
  <si>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</si>
  <si>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</si>
  <si>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</si>
  <si>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</si>
  <si>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</si>
  <si>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</si>
  <si>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</si>
  <si>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</si>
  <si>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</si>
  <si>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</si>
  <si>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</si>
  <si>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</si>
  <si>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</si>
  <si>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</si>
  <si>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</si>
  <si>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</si>
  <si>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</si>
  <si>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</si>
  <si>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</si>
  <si>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</si>
  <si>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</si>
  <si>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</si>
  <si>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</si>
  <si>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</si>
  <si>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</si>
  <si>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</si>
  <si>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</si>
  <si>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</si>
  <si>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</si>
  <si>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</si>
  <si>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</si>
  <si>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</si>
  <si>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</si>
  <si>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</si>
  <si>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</si>
  <si>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</si>
  <si>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</si>
  <si>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</si>
  <si>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</si>
  <si>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</si>
  <si>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</si>
  <si>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</si>
  <si>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</si>
  <si>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</si>
  <si>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</si>
  <si>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</si>
  <si>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</si>
  <si>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</si>
  <si>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</si>
  <si>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</si>
  <si>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</si>
  <si>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</si>
  <si>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</si>
  <si>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</si>
  <si>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</si>
  <si>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</si>
  <si>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</si>
  <si>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</si>
  <si>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</si>
  <si>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</si>
  <si>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</si>
  <si>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</si>
  <si>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</si>
  <si>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</si>
  <si>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</si>
  <si>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</si>
  <si>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</si>
  <si>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</si>
  <si>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</si>
  <si>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</si>
  <si>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</si>
  <si>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</si>
  <si>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</si>
  <si>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</si>
  <si>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</si>
  <si>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</si>
  <si>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</si>
  <si>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</si>
  <si>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</si>
  <si>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</si>
  <si>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</si>
  <si>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</si>
  <si>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</si>
  <si>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</si>
  <si>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</si>
  <si>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</si>
  <si>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</si>
  <si>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</si>
  <si>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</si>
  <si>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</si>
  <si>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</si>
  <si>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</si>
  <si>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</si>
  <si>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</si>
  <si>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</si>
  <si>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</si>
  <si>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</si>
  <si>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</si>
  <si>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</si>
  <si>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</si>
  <si>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</si>
  <si>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</si>
  <si>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</si>
  <si>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</si>
  <si>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</si>
  <si>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</si>
  <si>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</si>
  <si>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</si>
  <si>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</si>
  <si>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</si>
  <si>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</si>
  <si>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</si>
  <si>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</si>
  <si>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</si>
  <si>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</si>
  <si>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</si>
  <si>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</si>
  <si>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</si>
  <si>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</si>
  <si>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</si>
  <si>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</si>
  <si>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</si>
  <si>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</si>
  <si>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</si>
  <si>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</si>
  <si>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</si>
  <si>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</si>
  <si>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</si>
  <si>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</si>
  <si>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</si>
  <si>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</si>
  <si>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</si>
  <si>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</si>
  <si>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</si>
  <si>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</si>
  <si>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</si>
  <si>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</si>
  <si>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</si>
  <si>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</si>
  <si>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</si>
  <si>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</si>
  <si>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</si>
  <si>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</si>
  <si>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</si>
  <si>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</si>
  <si>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</si>
  <si>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</si>
  <si>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</si>
  <si>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</si>
  <si>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</si>
  <si>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</si>
  <si>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</si>
  <si>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</si>
  <si>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</si>
  <si>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</si>
  <si>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</si>
  <si>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</si>
  <si>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</si>
  <si>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</si>
  <si>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</si>
  <si>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</si>
  <si>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</si>
  <si>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</si>
  <si>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</si>
  <si>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</si>
  <si>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</si>
  <si>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</si>
  <si>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</si>
  <si>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</si>
  <si>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</si>
  <si>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</si>
  <si>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</si>
  <si>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</si>
  <si>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</si>
  <si>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</si>
  <si>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</si>
  <si>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</si>
  <si>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</si>
  <si>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</si>
  <si>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</si>
  <si>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</si>
  <si>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</si>
  <si>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</si>
  <si>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</si>
  <si>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</si>
  <si>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</si>
  <si>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</si>
  <si>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</si>
  <si>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</si>
  <si>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</si>
  <si>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</si>
  <si>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</si>
  <si>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</si>
  <si>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</si>
  <si>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</si>
  <si>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</si>
  <si>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</si>
  <si>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</si>
  <si>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</si>
  <si>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</si>
  <si>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</si>
  <si>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</si>
  <si>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</si>
  <si>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</si>
  <si>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</si>
  <si>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</si>
  <si>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</si>
  <si>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</si>
  <si>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</si>
  <si>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</si>
  <si>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</si>
  <si>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</si>
  <si>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</si>
  <si>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</si>
  <si>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</si>
  <si>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</si>
  <si>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</si>
  <si>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</si>
  <si>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</si>
  <si>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</si>
  <si>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</si>
  <si>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</si>
  <si>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</si>
  <si>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</si>
  <si>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</si>
  <si>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</si>
  <si>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</si>
  <si>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</si>
  <si>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</si>
  <si>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</si>
  <si>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</si>
  <si>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</si>
  <si>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</si>
  <si>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</si>
  <si>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</si>
  <si>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</si>
  <si>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</si>
  <si>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</si>
  <si>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</si>
  <si>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</si>
  <si>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</si>
  <si>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</si>
  <si>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</si>
  <si>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</si>
  <si>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</si>
  <si>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</si>
  <si>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</si>
  <si>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</si>
  <si>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</si>
  <si>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</si>
  <si>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</si>
  <si>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</si>
  <si>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</si>
  <si>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</si>
  <si>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</si>
  <si>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</si>
  <si>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</si>
  <si>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</si>
  <si>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</si>
  <si>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</si>
  <si>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</si>
  <si>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</si>
  <si>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</si>
  <si>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</si>
  <si>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</si>
  <si>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</si>
  <si>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</si>
  <si>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</si>
  <si>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</si>
  <si>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</si>
  <si>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</si>
  <si>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</si>
  <si>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</si>
  <si>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</si>
  <si>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</si>
  <si>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</si>
  <si>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</si>
  <si>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</si>
  <si>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</si>
  <si>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</si>
  <si>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</si>
  <si>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</si>
  <si>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</si>
  <si>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</si>
  <si>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</si>
  <si>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</si>
  <si>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</si>
  <si>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</si>
  <si>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</si>
  <si>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</si>
  <si>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</si>
  <si>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</si>
  <si>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</si>
  <si>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</si>
  <si>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</si>
  <si>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</si>
  <si>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</si>
  <si>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</si>
  <si>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</si>
  <si>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</si>
  <si>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</si>
  <si>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</si>
  <si>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</si>
  <si>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</si>
  <si>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</si>
  <si>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</si>
  <si>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</si>
  <si>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</si>
  <si>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</si>
  <si>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</si>
  <si>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</si>
  <si>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</si>
  <si>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</si>
  <si>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</si>
  <si>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</si>
  <si>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</si>
  <si>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</si>
  <si>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</si>
  <si>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</si>
  <si>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</si>
  <si>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</si>
  <si>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</si>
  <si>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</si>
  <si>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</si>
  <si>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</si>
  <si>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</si>
  <si>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</si>
  <si>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</si>
  <si>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</si>
  <si>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</si>
  <si>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</si>
  <si>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</si>
  <si>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</si>
  <si>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</si>
  <si>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</si>
  <si>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</si>
  <si>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</si>
  <si>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</si>
  <si>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</si>
  <si>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</si>
  <si>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</si>
  <si>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</si>
  <si>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</si>
  <si>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</si>
  <si>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</si>
  <si>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</si>
  <si>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</si>
  <si>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</si>
  <si>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</si>
  <si>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</si>
  <si>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</si>
  <si>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</si>
  <si>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</si>
  <si>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</si>
  <si>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</si>
  <si>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</si>
  <si>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</si>
  <si>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</si>
  <si>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</si>
  <si>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</si>
  <si>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</si>
  <si>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</si>
  <si>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</si>
  <si>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</si>
  <si>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</si>
  <si>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</si>
  <si>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</si>
  <si>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</si>
  <si>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</si>
  <si>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</si>
  <si>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</si>
  <si>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</si>
  <si>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</si>
  <si>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</si>
  <si>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</si>
  <si>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</si>
  <si>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</si>
  <si>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</si>
  <si>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</si>
  <si>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</si>
  <si>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</si>
  <si>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</si>
  <si>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</si>
  <si>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</si>
  <si>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</si>
  <si>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</si>
  <si>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</si>
  <si>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</si>
  <si>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</si>
  <si>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</si>
  <si>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</si>
  <si>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</si>
  <si>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</si>
  <si>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</si>
  <si>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</si>
  <si>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</si>
  <si>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</si>
  <si>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</si>
  <si>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</si>
  <si>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</si>
  <si>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</si>
  <si>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</si>
  <si>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</si>
  <si>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</si>
  <si>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</si>
  <si>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</si>
  <si>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</si>
  <si>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</si>
  <si>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</si>
  <si>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</si>
  <si>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</si>
  <si>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</si>
  <si>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</si>
  <si>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</si>
  <si>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</si>
  <si>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</si>
  <si>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</si>
  <si>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</si>
  <si>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</si>
  <si>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</si>
  <si>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</si>
  <si>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</si>
  <si>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</si>
  <si>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</si>
  <si>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</si>
  <si>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</si>
  <si>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</si>
  <si>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</si>
  <si>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</si>
  <si>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</si>
  <si>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</si>
  <si>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</si>
  <si>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</si>
  <si>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</si>
  <si>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</si>
  <si>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</si>
  <si>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</si>
  <si>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</si>
  <si>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</si>
  <si>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</si>
  <si>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</si>
  <si>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</si>
  <si>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</si>
  <si>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</si>
  <si>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</si>
  <si>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</si>
  <si>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</si>
  <si>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</si>
  <si>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</si>
  <si>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</si>
  <si>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</si>
  <si>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</si>
  <si>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</si>
  <si>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</si>
  <si>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</si>
  <si>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</si>
  <si>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</si>
  <si>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</si>
  <si>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</si>
  <si>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</si>
  <si>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</si>
  <si>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</si>
  <si>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</si>
  <si>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</si>
  <si>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</si>
  <si>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</si>
  <si>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</si>
  <si>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</si>
  <si>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</si>
  <si>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</si>
  <si>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</si>
  <si>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</si>
  <si>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</si>
  <si>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</si>
  <si>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</si>
  <si>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</si>
  <si>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</si>
  <si>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</si>
  <si>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</si>
  <si>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</si>
  <si>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</si>
  <si>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</si>
  <si>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</si>
  <si>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</si>
  <si>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</si>
  <si>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</si>
  <si>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</si>
  <si>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</si>
  <si>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</si>
  <si>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</si>
  <si>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</si>
  <si>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</si>
  <si>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</si>
  <si>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</si>
  <si>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</si>
  <si>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</si>
  <si>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</si>
  <si>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</si>
  <si>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</si>
  <si>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</si>
  <si>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</si>
  <si>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</si>
  <si>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</si>
  <si>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</si>
  <si>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</si>
  <si>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</si>
  <si>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</si>
  <si>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</si>
  <si>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</si>
  <si>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</si>
  <si>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</si>
  <si>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</si>
  <si>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</si>
  <si>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</si>
  <si>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</si>
  <si>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</si>
  <si>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</si>
  <si>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</si>
  <si>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</si>
  <si>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</si>
  <si>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</si>
  <si>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</si>
  <si>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</si>
  <si>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</si>
  <si>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</si>
  <si>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</si>
  <si>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</si>
  <si>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</si>
  <si>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</si>
  <si>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</si>
  <si>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</si>
  <si>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</si>
  <si>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</si>
  <si>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</si>
  <si>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</si>
  <si>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</si>
  <si>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</si>
  <si>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</si>
  <si>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</si>
  <si>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</si>
  <si>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</si>
  <si>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</si>
  <si>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</si>
  <si>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</si>
  <si>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</si>
  <si>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</si>
  <si>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</si>
  <si>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</si>
  <si>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</si>
  <si>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</si>
  <si>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</si>
  <si>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</si>
  <si>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</si>
  <si>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</si>
  <si>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</si>
  <si>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</si>
  <si>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</si>
  <si>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</si>
  <si>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</si>
  <si>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</si>
  <si>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</si>
  <si>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</si>
  <si>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</si>
  <si>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</si>
  <si>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</si>
  <si>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</si>
  <si>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</si>
  <si>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</si>
  <si>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</si>
  <si>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</si>
  <si>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</si>
  <si>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</si>
  <si>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</si>
  <si>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</si>
  <si>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</si>
  <si>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</si>
  <si>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</si>
  <si>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</si>
  <si>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</si>
  <si>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</si>
  <si>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</si>
  <si>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</si>
  <si>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</si>
  <si>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</si>
  <si>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</si>
  <si>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</si>
  <si>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</si>
  <si>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</si>
  <si>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</si>
  <si>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</si>
  <si>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</si>
  <si>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</si>
  <si>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</si>
  <si>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</si>
  <si>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</si>
  <si>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</si>
  <si>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</si>
  <si>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</si>
  <si>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</si>
  <si>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</si>
  <si>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</si>
  <si>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</si>
  <si>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</si>
  <si>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</si>
  <si>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</si>
  <si>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</si>
  <si>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</si>
  <si>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</si>
  <si>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</si>
  <si>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</si>
  <si>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</si>
  <si>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</si>
  <si>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</si>
  <si>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</si>
  <si>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</si>
  <si>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</si>
  <si>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</si>
  <si>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</si>
  <si>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</si>
  <si>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</si>
  <si>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</si>
  <si>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</si>
  <si>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</si>
  <si>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</si>
  <si>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</si>
  <si>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</si>
  <si>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</si>
  <si>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</si>
  <si>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</si>
  <si>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</si>
  <si>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</si>
  <si>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</si>
  <si>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</si>
  <si>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</si>
  <si>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</si>
  <si>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</si>
  <si>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</si>
  <si>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</si>
  <si>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</si>
  <si>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</si>
  <si>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</si>
  <si>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</si>
  <si>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</si>
  <si>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</si>
  <si>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</si>
  <si>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</si>
  <si>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</si>
  <si>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</si>
  <si>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</si>
  <si>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</si>
  <si>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</si>
  <si>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</si>
  <si>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</si>
  <si>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</si>
  <si>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</si>
  <si>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</si>
  <si>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</si>
  <si>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</si>
  <si>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</si>
  <si>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</si>
  <si>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</si>
  <si>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</si>
  <si>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</si>
  <si>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</si>
  <si>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</si>
  <si>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</si>
  <si>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</si>
  <si>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</si>
  <si>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</si>
  <si>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</si>
  <si>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</si>
  <si>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</si>
  <si>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</si>
  <si>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</si>
  <si>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</si>
  <si>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</si>
  <si>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</si>
  <si>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</si>
  <si>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</si>
  <si>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</si>
  <si>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</si>
  <si>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</si>
  <si>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</si>
  <si>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</si>
  <si>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</si>
  <si>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</si>
  <si>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</si>
  <si>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</si>
  <si>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</si>
  <si>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</si>
  <si>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</si>
  <si>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</si>
  <si>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</si>
  <si>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</si>
  <si>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</si>
  <si>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</si>
  <si>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</si>
  <si>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</si>
  <si>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</si>
  <si>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</si>
  <si>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</si>
  <si>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</si>
  <si>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</si>
  <si>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</si>
  <si>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</si>
  <si>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</si>
  <si>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</si>
  <si>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</si>
  <si>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</si>
  <si>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</si>
  <si>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</si>
  <si>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</si>
  <si>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</si>
  <si>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</si>
  <si>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</si>
  <si>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</si>
  <si>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</si>
  <si>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</si>
  <si>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</si>
  <si>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</si>
  <si>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</si>
  <si>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</si>
  <si>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</si>
  <si>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</si>
  <si>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</si>
  <si>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</si>
  <si>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</si>
  <si>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</si>
  <si>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</si>
  <si>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</si>
  <si>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</si>
  <si>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</si>
  <si>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</si>
  <si>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</si>
  <si>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</si>
  <si>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</si>
  <si>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</si>
  <si>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</si>
  <si>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</si>
  <si>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</si>
  <si>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</si>
  <si>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</si>
  <si>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</si>
  <si>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</si>
  <si>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</si>
  <si>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</si>
  <si>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</si>
  <si>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</si>
  <si>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</si>
  <si>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</si>
  <si>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</si>
  <si>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</si>
  <si>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</si>
  <si>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</si>
  <si>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</si>
  <si>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</si>
  <si>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</si>
  <si>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</si>
  <si>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</si>
  <si>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</si>
  <si>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</si>
  <si>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</si>
  <si>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</si>
  <si>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</si>
  <si>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</si>
  <si>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</si>
  <si>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</si>
  <si>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</si>
  <si>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</si>
  <si>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</si>
  <si>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</si>
  <si>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</si>
  <si>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</si>
  <si>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</si>
  <si>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</si>
  <si>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</si>
  <si>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</si>
  <si>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</si>
  <si>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</si>
  <si>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</si>
  <si>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</si>
  <si>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</si>
  <si>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</si>
  <si>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</si>
  <si>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</si>
  <si>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</si>
  <si>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</si>
  <si>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</si>
  <si>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</si>
  <si>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</si>
  <si>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</si>
  <si>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</si>
  <si>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</si>
  <si>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</si>
  <si>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</si>
  <si>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</si>
  <si>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</si>
  <si>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</si>
  <si>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</si>
  <si>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</si>
  <si>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</si>
  <si>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</si>
  <si>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</si>
  <si>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</si>
  <si>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</si>
  <si>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</si>
  <si>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</si>
  <si>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</si>
  <si>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</si>
  <si>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</si>
  <si>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</si>
  <si>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</si>
  <si>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</si>
  <si>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</si>
  <si>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</si>
  <si>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</si>
  <si>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</si>
  <si>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</si>
  <si>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</si>
  <si>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</si>
  <si>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</si>
  <si>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</si>
  <si>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</si>
  <si>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</si>
  <si>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</si>
  <si>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</si>
  <si>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</si>
  <si>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</si>
  <si>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</si>
  <si>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</si>
  <si>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</si>
  <si>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</si>
  <si>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</si>
  <si>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</si>
  <si>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</si>
  <si>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</si>
  <si>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</si>
  <si>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</si>
  <si>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</si>
  <si>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</si>
  <si>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</si>
  <si>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</si>
  <si>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</si>
  <si>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</si>
  <si>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</si>
  <si>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</si>
  <si>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</si>
  <si>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</si>
  <si>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</si>
  <si>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</si>
  <si>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</si>
  <si>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</si>
  <si>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</si>
  <si>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</si>
  <si>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</si>
  <si>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</si>
  <si>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</si>
  <si>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</si>
  <si>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</si>
  <si>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</si>
  <si>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</si>
  <si>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Rótulos de Linha</t>
  </si>
  <si>
    <t>Soma de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</si>
  <si>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</si>
  <si>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</si>
  <si>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</si>
  <si>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</si>
  <si>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</si>
  <si>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</si>
  <si>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</si>
  <si>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</si>
  <si>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</si>
  <si>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</si>
  <si>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</si>
  <si>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</si>
  <si>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Geral</t>
  </si>
  <si>
    <t>Soma de Quantity</t>
  </si>
  <si>
    <t>Eletronics/Furniture/OffSupplies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</si>
</sst>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rgb="FF404040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40404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2" borderId="0" xfId="0" applyFill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readingOrder="1"/>
    </xf>
  </cellXfs>
  <cellStyles count="2">
    <cellStyle name="Moeda" xfId="1" builtinId="4"/>
    <cellStyle name="Normal" xfId="0" builtinId="0"/>
  </cellStyles>
  <dxfs count="4"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[efo_sales_dashboard.xlsx]Pivot Tables!Tabela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Sub-Category</a:t>
            </a:r>
          </a:p>
        </c:rich>
      </c:tx>
      <c:layout>
        <c:manualLayout>
          <c:xMode val="edge"/>
          <c:yMode val="edge"/>
          <c:x val="0.29188103920945901"/>
          <c:y val="5.7317601654933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Tables'!$B$5:$B$17</c:f>
              <c:strCache>
                <c:ptCount val="12"/>
                <c:pt idx="0">
                  <c:v>Binders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Laptops</c:v>
                </c:pt>
                <c:pt idx="5">
                  <c:v>Markers</c:v>
                </c:pt>
                <c:pt idx="6">
                  <c:v>Paper</c:v>
                </c:pt>
                <c:pt idx="7">
                  <c:v>Pens</c:v>
                </c:pt>
                <c:pt idx="8">
                  <c:v>Phones</c:v>
                </c:pt>
                <c:pt idx="9">
                  <c:v>Printers</c:v>
                </c:pt>
                <c:pt idx="10">
                  <c:v>Sofas</c:v>
                </c:pt>
                <c:pt idx="11">
                  <c:v>Tables</c:v>
                </c:pt>
              </c:strCache>
            </c:strRef>
          </c:cat>
          <c:val>
            <c:numRef>
              <c:f>'Pivot Tables'!$C$5:$C$17</c:f>
              <c:numCache>
                <c:formatCode>_("$"* #,##0.00_);_("$"* \(#,##0.00\);_("$"* "-"??_);_(@_)</c:formatCode>
                <c:ptCount val="12"/>
                <c:pt idx="0">
                  <c:v>97257</c:v>
                </c:pt>
                <c:pt idx="1">
                  <c:v>118000</c:v>
                </c:pt>
                <c:pt idx="2">
                  <c:v>122892</c:v>
                </c:pt>
                <c:pt idx="3">
                  <c:v>148454</c:v>
                </c:pt>
                <c:pt idx="4">
                  <c:v>110260</c:v>
                </c:pt>
                <c:pt idx="5">
                  <c:v>174749</c:v>
                </c:pt>
                <c:pt idx="6">
                  <c:v>149723</c:v>
                </c:pt>
                <c:pt idx="7">
                  <c:v>129846</c:v>
                </c:pt>
                <c:pt idx="8">
                  <c:v>113607</c:v>
                </c:pt>
                <c:pt idx="9">
                  <c:v>146259</c:v>
                </c:pt>
                <c:pt idx="10">
                  <c:v>142854</c:v>
                </c:pt>
                <c:pt idx="11">
                  <c:v>156796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0-4EF5-BCF5-01734784C1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5105856"/>
        <c:axId val="375117088"/>
      </c:barChart>
      <c:catAx>
        <c:axId val="37510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17088"/>
        <c:crosses val="autoZero"/>
        <c:auto val="1"/>
        <c:lblAlgn val="ctr"/>
        <c:lblOffset val="100"/>
        <c:noMultiLvlLbl val="0"/>
      </c:catAx>
      <c:valAx>
        <c:axId val="37511708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3751058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[efo_sales_dashboard.xlsx]Pivot Tables!Tabela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</a:p>
        </c:rich>
      </c:tx>
      <c:layout>
        <c:manualLayout>
          <c:xMode val="edge"/>
          <c:yMode val="edge"/>
          <c:x val="0.27727549681289837"/>
          <c:y val="3.8761504395779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4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>
              <a:tint val="5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tint val="6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>
              <a:tint val="7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>
              <a:tint val="8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>
              <a:tint val="9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shade val="9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>
              <a:shade val="8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6">
              <a:shade val="7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6">
              <a:shade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6">
              <a:shade val="5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6">
              <a:shade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4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2E-4644-811D-6C3EB8D003F4}"/>
              </c:ext>
            </c:extLst>
          </c:dPt>
          <c:dPt>
            <c:idx val="1"/>
            <c:bubble3D val="0"/>
            <c:spPr>
              <a:solidFill>
                <a:schemeClr val="accent6">
                  <a:tint val="5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2E-4644-811D-6C3EB8D003F4}"/>
              </c:ext>
            </c:extLst>
          </c:dPt>
          <c:dPt>
            <c:idx val="2"/>
            <c:bubble3D val="0"/>
            <c:spPr>
              <a:solidFill>
                <a:schemeClr val="accent6">
                  <a:tint val="6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2E-4644-811D-6C3EB8D003F4}"/>
              </c:ext>
            </c:extLst>
          </c:dPt>
          <c:dPt>
            <c:idx val="3"/>
            <c:bubble3D val="0"/>
            <c:spPr>
              <a:solidFill>
                <a:schemeClr val="accent6">
                  <a:tint val="7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2E-4644-811D-6C3EB8D003F4}"/>
              </c:ext>
            </c:extLst>
          </c:dPt>
          <c:dPt>
            <c:idx val="4"/>
            <c:bubble3D val="0"/>
            <c:spPr>
              <a:solidFill>
                <a:schemeClr val="accent6">
                  <a:tint val="8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2E-4644-811D-6C3EB8D003F4}"/>
              </c:ext>
            </c:extLst>
          </c:dPt>
          <c:dPt>
            <c:idx val="5"/>
            <c:bubble3D val="0"/>
            <c:spPr>
              <a:solidFill>
                <a:schemeClr val="accent6">
                  <a:tint val="9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2E-4644-811D-6C3EB8D003F4}"/>
              </c:ext>
            </c:extLst>
          </c:dPt>
          <c:dPt>
            <c:idx val="6"/>
            <c:bubble3D val="0"/>
            <c:spPr>
              <a:solidFill>
                <a:schemeClr val="accent6">
                  <a:shade val="9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2E-4644-811D-6C3EB8D003F4}"/>
              </c:ext>
            </c:extLst>
          </c:dPt>
          <c:dPt>
            <c:idx val="7"/>
            <c:bubble3D val="0"/>
            <c:spPr>
              <a:solidFill>
                <a:schemeClr val="accent6">
                  <a:shade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2E-4644-811D-6C3EB8D003F4}"/>
              </c:ext>
            </c:extLst>
          </c:dPt>
          <c:dPt>
            <c:idx val="8"/>
            <c:bubble3D val="0"/>
            <c:spPr>
              <a:solidFill>
                <a:schemeClr val="accent6">
                  <a:shade val="7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02E-4644-811D-6C3EB8D003F4}"/>
              </c:ext>
            </c:extLst>
          </c:dPt>
          <c:dPt>
            <c:idx val="9"/>
            <c:bubble3D val="0"/>
            <c:spPr>
              <a:solidFill>
                <a:schemeClr val="accent6">
                  <a:shade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02E-4644-811D-6C3EB8D003F4}"/>
              </c:ext>
            </c:extLst>
          </c:dPt>
          <c:dPt>
            <c:idx val="10"/>
            <c:bubble3D val="0"/>
            <c:spPr>
              <a:solidFill>
                <a:schemeClr val="accent6">
                  <a:shade val="5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02E-4644-811D-6C3EB8D003F4}"/>
              </c:ext>
            </c:extLst>
          </c:dPt>
          <c:dPt>
            <c:idx val="11"/>
            <c:bubble3D val="0"/>
            <c:spPr>
              <a:solidFill>
                <a:schemeClr val="accent6">
                  <a:shade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02E-4644-811D-6C3EB8D003F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Tables'!$K$5:$K$17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Tables'!$L$5:$L$17</c:f>
              <c:numCache>
                <c:formatCode>_("$"* #,##0.00_);_("$"* \(#,##0.00\);_("$"* "-"??_);_(@_)</c:formatCode>
                <c:ptCount val="12"/>
                <c:pt idx="0">
                  <c:v>110381</c:v>
                </c:pt>
                <c:pt idx="1">
                  <c:v>118941</c:v>
                </c:pt>
                <c:pt idx="2">
                  <c:v>152739</c:v>
                </c:pt>
                <c:pt idx="3">
                  <c:v>139373</c:v>
                </c:pt>
                <c:pt idx="4">
                  <c:v>129629</c:v>
                </c:pt>
                <c:pt idx="5">
                  <c:v>141845</c:v>
                </c:pt>
                <c:pt idx="6">
                  <c:v>132117</c:v>
                </c:pt>
                <c:pt idx="7">
                  <c:v>143289</c:v>
                </c:pt>
                <c:pt idx="8">
                  <c:v>111244</c:v>
                </c:pt>
                <c:pt idx="9">
                  <c:v>155154</c:v>
                </c:pt>
                <c:pt idx="10">
                  <c:v>116169</c:v>
                </c:pt>
                <c:pt idx="11">
                  <c:v>159816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B33-4340-9B9E-A55EFCBDFD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08081802274715"/>
          <c:y val="0.25823088998536303"/>
          <c:w val="0.13955013435820524"/>
          <c:h val="0.735736421770108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38100</xdr:rowOff>
    </xdr:from>
    <xdr:to>
      <xdr:col>9</xdr:col>
      <xdr:colOff>167640</xdr:colOff>
      <xdr:row>20</xdr:row>
      <xdr:rowOff>49530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60933D-7184-4425-AB26-92F780224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579120</xdr:colOff>
      <xdr:row>1</xdr:row>
      <xdr:rowOff>95250</xdr:rowOff>
    </xdr:from>
    <xdr:to>
      <xdr:col>21</xdr:col>
      <xdr:colOff>213360</xdr:colOff>
      <xdr:row>19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9A5F76-4B62-4B41-AD5D-E4FDFCAC2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9</xdr:row>
      <xdr:rowOff>68580</xdr:rowOff>
    </xdr:from>
    <xdr:to>
      <xdr:col>5</xdr:col>
      <xdr:colOff>571500</xdr:colOff>
      <xdr:row>12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 1">
              <a:extLst>
                <a:ext uri="{FF2B5EF4-FFF2-40B4-BE49-F238E27FC236}">
                  <a16:creationId xmlns:a16="http://schemas.microsoft.com/office/drawing/2014/main" id="{5EAA5F0E-5F36-4D82-8283-CC4BD1C45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" y="1870486"/>
              <a:ext cx="4589033" cy="6064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579120</xdr:colOff>
      <xdr:row>9</xdr:row>
      <xdr:rowOff>68581</xdr:rowOff>
    </xdr:from>
    <xdr:to>
      <xdr:col>11</xdr:col>
      <xdr:colOff>601980</xdr:colOff>
      <xdr:row>12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062726B4-71F8-49A6-BD9B-384734671D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3873" y="1870487"/>
              <a:ext cx="3680460" cy="606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373381</xdr:colOff>
          <xdr:row>12</xdr:row>
          <xdr:rowOff>137160</xdr:rowOff>
        </xdr:from>
        <xdr:to>
          <xdr:col>6</xdr:col>
          <xdr:colOff>358141</xdr:colOff>
          <xdr:row>29</xdr:row>
          <xdr:rowOff>189489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B788AA4C-87D7-424E-817F-E7C3F943A2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'!$E$2:$I$20" spid="_x0000_s20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3381" y="2506980"/>
              <a:ext cx="5227320" cy="32679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464820</xdr:colOff>
          <xdr:row>12</xdr:row>
          <xdr:rowOff>167640</xdr:rowOff>
        </xdr:from>
        <xdr:to>
          <xdr:col>12</xdr:col>
          <xdr:colOff>464820</xdr:colOff>
          <xdr:row>29</xdr:row>
          <xdr:rowOff>103094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CCF7F500-98CB-4773-BB20-2A8B2CC57E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'!$O$3:$U$19" spid="_x0000_s20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099573" y="2507428"/>
              <a:ext cx="4267200" cy="31089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601980</xdr:colOff>
      <xdr:row>5</xdr:row>
      <xdr:rowOff>7620</xdr:rowOff>
    </xdr:from>
    <xdr:to>
      <xdr:col>12</xdr:col>
      <xdr:colOff>0</xdr:colOff>
      <xdr:row>8</xdr:row>
      <xdr:rowOff>114300</xdr:rowOff>
    </xdr:to>
    <xdr:sp macro="" textlink="J7">
      <xdr:nvSpPr>
        <xdr:cNvPr id="2" name="Retângulo: Cantos Arredondados 1">
          <a:extLst>
            <a:ext uri="{FF2B5EF4-FFF2-40B4-BE49-F238E27FC236}">
              <a16:creationId xmlns:a16="http://schemas.microsoft.com/office/drawing/2014/main" id="{CCCC8492-23AE-42FA-9E49-05A079CE9A9B}"/>
            </a:ext>
          </a:extLst>
        </xdr:cNvPr>
        <xdr:cNvSpPr/>
      </xdr:nvSpPr>
      <xdr:spPr>
        <a:xfrm>
          <a:off x="6454140" y="1097280"/>
          <a:ext cx="2446020" cy="65532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441353-8633-45BF-B71A-3C88611085BB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Most Used Payment Method: Debit Card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</xdr:colOff>
      <xdr:row>5</xdr:row>
      <xdr:rowOff>7620</xdr:rowOff>
    </xdr:from>
    <xdr:to>
      <xdr:col>2</xdr:col>
      <xdr:colOff>259080</xdr:colOff>
      <xdr:row>8</xdr:row>
      <xdr:rowOff>114300</xdr:rowOff>
    </xdr:to>
    <xdr:sp macro="" textlink="C7">
      <xdr:nvSpPr>
        <xdr:cNvPr id="7" name="Retângulo: Cantos Arredondados 6">
          <a:extLst>
            <a:ext uri="{FF2B5EF4-FFF2-40B4-BE49-F238E27FC236}">
              <a16:creationId xmlns:a16="http://schemas.microsoft.com/office/drawing/2014/main" id="{93880DE7-0F40-4D5E-B62F-BBDF9B6043AD}"/>
            </a:ext>
          </a:extLst>
        </xdr:cNvPr>
        <xdr:cNvSpPr/>
      </xdr:nvSpPr>
      <xdr:spPr>
        <a:xfrm>
          <a:off x="617220" y="1097280"/>
          <a:ext cx="2446020" cy="65532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5877EC7-994A-40B8-8E0B-A8BA6DDF3084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Least Used Payment Method: COD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114300</xdr:colOff>
      <xdr:row>5</xdr:row>
      <xdr:rowOff>0</xdr:rowOff>
    </xdr:from>
    <xdr:to>
      <xdr:col>7</xdr:col>
      <xdr:colOff>121920</xdr:colOff>
      <xdr:row>8</xdr:row>
      <xdr:rowOff>106680</xdr:rowOff>
    </xdr:to>
    <xdr:sp macro="" textlink="E7">
      <xdr:nvSpPr>
        <xdr:cNvPr id="8" name="Retângulo: Cantos Arredondados 7">
          <a:extLst>
            <a:ext uri="{FF2B5EF4-FFF2-40B4-BE49-F238E27FC236}">
              <a16:creationId xmlns:a16="http://schemas.microsoft.com/office/drawing/2014/main" id="{5D0560F6-4C5C-41D0-AEA8-77954E4D8C19}"/>
            </a:ext>
          </a:extLst>
        </xdr:cNvPr>
        <xdr:cNvSpPr/>
      </xdr:nvSpPr>
      <xdr:spPr>
        <a:xfrm>
          <a:off x="3528060" y="1089660"/>
          <a:ext cx="2446020" cy="65532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842861-1D1E-4927-BA50-59C5187F9266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Profit: $ 1,610,697.00</a:t>
          </a:fld>
          <a:endParaRPr lang="en-US" sz="24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Pereira" refreshedDate="46155.826474652778" createdVersion="7" refreshedVersion="7" minRefreshableVersion="3" recordCount="1194" xr:uid="{EDB118E8-C790-4A6B-926C-C98EDF6D3E03}">
  <cacheSource type="worksheet">
    <worksheetSource ref="A1:N1195" sheet="Clean Dataset"/>
  </cacheSource>
  <cacheFields count="14">
    <cacheField name="Order ID" numFmtId="0">
      <sharedItems/>
    </cacheField>
    <cacheField name="Value" numFmtId="44">
      <sharedItems containsSemiMixedTypes="0" containsString="0" containsNumber="1" containsInteger="1" minValue="508" maxValue="9992"/>
    </cacheField>
    <cacheField name="Cost" numFmtId="44">
      <sharedItems containsSemiMixedTypes="0" containsString="0" containsNumber="1" containsInteger="1" minValue="272" maxValue="9453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 count="61"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Month" numFmtId="0">
      <sharedItems count="12">
        <s v="June"/>
        <s v="December"/>
        <s v="July"/>
        <s v="May"/>
        <s v="October"/>
        <s v="November"/>
        <s v="March"/>
        <s v="February"/>
        <s v="January"/>
        <s v="August"/>
        <s v="September"/>
        <s v="April"/>
      </sharedItems>
    </cacheField>
  </cacheFields>
  <extLst>
    <ext xmlns:x14="http://schemas.microsoft.com/office/spreadsheetml/2009/9/main" uri="{725AE2AE-9491-48be-B2B4-4EB974FC3084}">
      <x14:pivotCacheDefinition pivotCacheId="12724429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8451"/>
    <n v="1275"/>
    <n v="5"/>
    <x v="0"/>
    <x v="0"/>
    <x v="0"/>
    <d v="2023-06-27T00:00:00"/>
    <s v="David Padilla"/>
    <x v="0"/>
    <s v="Miami"/>
    <x v="0"/>
    <x v="0"/>
  </r>
  <r>
    <s v="B-26776"/>
    <n v="9726"/>
    <n v="8451"/>
    <n v="1275"/>
    <n v="5"/>
    <x v="0"/>
    <x v="0"/>
    <x v="0"/>
    <d v="2024-12-27T00:00:00"/>
    <s v="Connor Morgan"/>
    <x v="1"/>
    <s v="Chicago"/>
    <x v="1"/>
    <x v="1"/>
  </r>
  <r>
    <s v="B-26776"/>
    <n v="9726"/>
    <n v="8451"/>
    <n v="1275"/>
    <n v="5"/>
    <x v="0"/>
    <x v="0"/>
    <x v="0"/>
    <d v="2021-07-25T00:00:00"/>
    <s v="Robert Stone"/>
    <x v="2"/>
    <s v="Buffalo"/>
    <x v="2"/>
    <x v="2"/>
  </r>
  <r>
    <s v="B-26776"/>
    <n v="4975"/>
    <n v="3645"/>
    <n v="1330"/>
    <n v="14"/>
    <x v="0"/>
    <x v="1"/>
    <x v="0"/>
    <d v="2023-06-27T00:00:00"/>
    <s v="David Padilla"/>
    <x v="0"/>
    <s v="Miami"/>
    <x v="0"/>
    <x v="0"/>
  </r>
  <r>
    <s v="B-26776"/>
    <n v="4975"/>
    <n v="3645"/>
    <n v="1330"/>
    <n v="14"/>
    <x v="0"/>
    <x v="1"/>
    <x v="0"/>
    <d v="2024-12-27T00:00:00"/>
    <s v="Connor Morgan"/>
    <x v="1"/>
    <s v="Chicago"/>
    <x v="1"/>
    <x v="1"/>
  </r>
  <r>
    <s v="B-26776"/>
    <n v="4975"/>
    <n v="3645"/>
    <n v="1330"/>
    <n v="14"/>
    <x v="0"/>
    <x v="1"/>
    <x v="0"/>
    <d v="2021-07-25T00:00:00"/>
    <s v="Robert Stone"/>
    <x v="2"/>
    <s v="Buffalo"/>
    <x v="2"/>
    <x v="2"/>
  </r>
  <r>
    <s v="B-26942"/>
    <n v="1525"/>
    <n v="1340"/>
    <n v="185"/>
    <n v="12"/>
    <x v="1"/>
    <x v="2"/>
    <x v="1"/>
    <d v="2024-05-11T00:00:00"/>
    <s v="John Fields"/>
    <x v="0"/>
    <s v="Orlando"/>
    <x v="3"/>
    <x v="3"/>
  </r>
  <r>
    <s v="B-26942"/>
    <n v="1525"/>
    <n v="1340"/>
    <n v="185"/>
    <n v="12"/>
    <x v="1"/>
    <x v="2"/>
    <x v="1"/>
    <d v="2021-10-09T00:00:00"/>
    <s v="Clayton Smith"/>
    <x v="0"/>
    <s v="Miami"/>
    <x v="4"/>
    <x v="4"/>
  </r>
  <r>
    <s v="B-26640"/>
    <n v="883"/>
    <n v="766"/>
    <n v="117"/>
    <n v="10"/>
    <x v="0"/>
    <x v="3"/>
    <x v="2"/>
    <d v="2022-11-18T00:00:00"/>
    <s v="Richard Kelley"/>
    <x v="3"/>
    <s v="Los Angeles"/>
    <x v="5"/>
    <x v="5"/>
  </r>
  <r>
    <s v="B-26640"/>
    <n v="8127"/>
    <n v="4576"/>
    <n v="3551"/>
    <n v="16"/>
    <x v="2"/>
    <x v="4"/>
    <x v="3"/>
    <d v="2022-11-18T00:00:00"/>
    <s v="Richard Kelley"/>
    <x v="3"/>
    <s v="Los Angeles"/>
    <x v="5"/>
    <x v="5"/>
  </r>
  <r>
    <s v="B-25890"/>
    <n v="2516"/>
    <n v="1782"/>
    <n v="734"/>
    <n v="19"/>
    <x v="2"/>
    <x v="5"/>
    <x v="0"/>
    <d v="2023-11-12T00:00:00"/>
    <s v="Jacqueline Hubbard"/>
    <x v="2"/>
    <s v="New York City"/>
    <x v="6"/>
    <x v="5"/>
  </r>
  <r>
    <s v="B-25102"/>
    <n v="2975"/>
    <n v="2513"/>
    <n v="462"/>
    <n v="14"/>
    <x v="1"/>
    <x v="2"/>
    <x v="3"/>
    <d v="2020-03-23T00:00:00"/>
    <s v="Jessica Anderson"/>
    <x v="2"/>
    <s v="New York City"/>
    <x v="7"/>
    <x v="6"/>
  </r>
  <r>
    <s v="B-25426"/>
    <n v="6851"/>
    <n v="4039"/>
    <n v="2812"/>
    <n v="1"/>
    <x v="1"/>
    <x v="6"/>
    <x v="1"/>
    <d v="2020-05-04T00:00:00"/>
    <s v="Mary Taylor"/>
    <x v="0"/>
    <s v="Orlando"/>
    <x v="8"/>
    <x v="3"/>
  </r>
  <r>
    <s v="B-25426"/>
    <n v="7626"/>
    <n v="6580"/>
    <n v="1046"/>
    <n v="15"/>
    <x v="2"/>
    <x v="7"/>
    <x v="3"/>
    <d v="2020-05-04T00:00:00"/>
    <s v="Mary Taylor"/>
    <x v="0"/>
    <s v="Orlando"/>
    <x v="8"/>
    <x v="3"/>
  </r>
  <r>
    <s v="B-25426"/>
    <n v="1023"/>
    <n v="945"/>
    <n v="78"/>
    <n v="9"/>
    <x v="2"/>
    <x v="4"/>
    <x v="0"/>
    <d v="2020-05-04T00:00:00"/>
    <s v="Mary Taylor"/>
    <x v="0"/>
    <s v="Orlando"/>
    <x v="8"/>
    <x v="3"/>
  </r>
  <r>
    <s v="B-25238"/>
    <n v="7600"/>
    <n v="6502"/>
    <n v="1098"/>
    <n v="10"/>
    <x v="1"/>
    <x v="2"/>
    <x v="0"/>
    <d v="2023-11-09T00:00:00"/>
    <s v="Walter Crawford"/>
    <x v="1"/>
    <s v="Springfield"/>
    <x v="6"/>
    <x v="5"/>
  </r>
  <r>
    <s v="B-25238"/>
    <n v="7501"/>
    <n v="7239"/>
    <n v="262"/>
    <n v="18"/>
    <x v="1"/>
    <x v="8"/>
    <x v="4"/>
    <d v="2023-11-09T00:00:00"/>
    <s v="Walter Crawford"/>
    <x v="1"/>
    <s v="Springfield"/>
    <x v="6"/>
    <x v="5"/>
  </r>
  <r>
    <s v="B-25051"/>
    <n v="725"/>
    <n v="592"/>
    <n v="133"/>
    <n v="6"/>
    <x v="1"/>
    <x v="8"/>
    <x v="3"/>
    <d v="2024-12-30T00:00:00"/>
    <s v="Lawrence Robinson"/>
    <x v="2"/>
    <s v="Rochester"/>
    <x v="1"/>
    <x v="1"/>
  </r>
  <r>
    <s v="B-25051"/>
    <n v="7201"/>
    <n v="4516"/>
    <n v="2685"/>
    <n v="2"/>
    <x v="2"/>
    <x v="4"/>
    <x v="3"/>
    <d v="2024-12-30T00:00:00"/>
    <s v="Lawrence Robinson"/>
    <x v="2"/>
    <s v="Rochester"/>
    <x v="1"/>
    <x v="1"/>
  </r>
  <r>
    <s v="B-26510"/>
    <n v="1629"/>
    <n v="1364"/>
    <n v="265"/>
    <n v="1"/>
    <x v="1"/>
    <x v="8"/>
    <x v="0"/>
    <d v="2025-02-11T00:00:00"/>
    <s v="Douglas Pennington"/>
    <x v="4"/>
    <s v="Dallas"/>
    <x v="9"/>
    <x v="7"/>
  </r>
  <r>
    <s v="B-26510"/>
    <n v="1629"/>
    <n v="1364"/>
    <n v="265"/>
    <n v="1"/>
    <x v="1"/>
    <x v="8"/>
    <x v="0"/>
    <d v="2024-01-23T00:00:00"/>
    <s v="Ricardo Andrews"/>
    <x v="3"/>
    <s v="San Diego"/>
    <x v="10"/>
    <x v="8"/>
  </r>
  <r>
    <s v="B-25104"/>
    <n v="8971"/>
    <n v="6000"/>
    <n v="2971"/>
    <n v="19"/>
    <x v="1"/>
    <x v="9"/>
    <x v="1"/>
    <d v="2020-11-28T00:00:00"/>
    <s v="Paul Raymond"/>
    <x v="3"/>
    <s v="San Diego"/>
    <x v="11"/>
    <x v="5"/>
  </r>
  <r>
    <s v="B-25104"/>
    <n v="2939"/>
    <n v="2045"/>
    <n v="894"/>
    <n v="20"/>
    <x v="1"/>
    <x v="9"/>
    <x v="4"/>
    <d v="2020-11-28T00:00:00"/>
    <s v="Paul Raymond"/>
    <x v="3"/>
    <s v="San Diego"/>
    <x v="11"/>
    <x v="5"/>
  </r>
  <r>
    <s v="B-25553"/>
    <n v="9380"/>
    <n v="8966"/>
    <n v="414"/>
    <n v="11"/>
    <x v="0"/>
    <x v="10"/>
    <x v="0"/>
    <d v="2024-05-30T00:00:00"/>
    <s v="Karen Johnson"/>
    <x v="2"/>
    <s v="Rochester"/>
    <x v="3"/>
    <x v="3"/>
  </r>
  <r>
    <s v="B-25553"/>
    <n v="8558"/>
    <n v="6914"/>
    <n v="1644"/>
    <n v="18"/>
    <x v="1"/>
    <x v="9"/>
    <x v="3"/>
    <d v="2024-05-30T00:00:00"/>
    <s v="Karen Johnson"/>
    <x v="2"/>
    <s v="Rochester"/>
    <x v="3"/>
    <x v="3"/>
  </r>
  <r>
    <s v="B-25553"/>
    <n v="4080"/>
    <n v="4008"/>
    <n v="72"/>
    <n v="17"/>
    <x v="1"/>
    <x v="8"/>
    <x v="4"/>
    <d v="2024-05-30T00:00:00"/>
    <s v="Karen Johnson"/>
    <x v="2"/>
    <s v="Rochester"/>
    <x v="3"/>
    <x v="3"/>
  </r>
  <r>
    <s v="B-26703"/>
    <n v="4206"/>
    <n v="2385"/>
    <n v="1821"/>
    <n v="17"/>
    <x v="0"/>
    <x v="0"/>
    <x v="2"/>
    <d v="2022-01-23T00:00:00"/>
    <s v="Juan Erickson"/>
    <x v="4"/>
    <s v="Austin"/>
    <x v="12"/>
    <x v="8"/>
  </r>
  <r>
    <s v="B-26232"/>
    <n v="5219"/>
    <n v="4039"/>
    <n v="1180"/>
    <n v="20"/>
    <x v="1"/>
    <x v="9"/>
    <x v="4"/>
    <d v="2021-12-17T00:00:00"/>
    <s v="Alexander Reed"/>
    <x v="2"/>
    <s v="New York City"/>
    <x v="13"/>
    <x v="1"/>
  </r>
  <r>
    <s v="B-26232"/>
    <n v="5219"/>
    <n v="4039"/>
    <n v="1180"/>
    <n v="20"/>
    <x v="1"/>
    <x v="9"/>
    <x v="4"/>
    <d v="2023-02-03T00:00:00"/>
    <s v="Jacqueline Harris"/>
    <x v="3"/>
    <s v="San Francisco"/>
    <x v="14"/>
    <x v="7"/>
  </r>
  <r>
    <s v="B-25394"/>
    <n v="3686"/>
    <n v="2926"/>
    <n v="760"/>
    <n v="20"/>
    <x v="1"/>
    <x v="2"/>
    <x v="1"/>
    <d v="2022-10-30T00:00:00"/>
    <s v="Tyler Park"/>
    <x v="3"/>
    <s v="San Francisco"/>
    <x v="15"/>
    <x v="4"/>
  </r>
  <r>
    <s v="B-25394"/>
    <n v="3686"/>
    <n v="2926"/>
    <n v="760"/>
    <n v="20"/>
    <x v="1"/>
    <x v="2"/>
    <x v="1"/>
    <d v="2022-01-15T00:00:00"/>
    <s v="Richard Wolfe"/>
    <x v="5"/>
    <s v="Columbus"/>
    <x v="12"/>
    <x v="8"/>
  </r>
  <r>
    <s v="B-26157"/>
    <n v="6045"/>
    <n v="4439"/>
    <n v="1606"/>
    <n v="4"/>
    <x v="1"/>
    <x v="8"/>
    <x v="4"/>
    <d v="2023-12-14T00:00:00"/>
    <s v="Sierra Rios"/>
    <x v="0"/>
    <s v="Orlando"/>
    <x v="16"/>
    <x v="1"/>
  </r>
  <r>
    <s v="B-26157"/>
    <n v="9337"/>
    <n v="8783"/>
    <n v="554"/>
    <n v="11"/>
    <x v="1"/>
    <x v="2"/>
    <x v="4"/>
    <d v="2023-12-14T00:00:00"/>
    <s v="Sierra Rios"/>
    <x v="0"/>
    <s v="Orlando"/>
    <x v="16"/>
    <x v="1"/>
  </r>
  <r>
    <s v="B-25555"/>
    <n v="4051"/>
    <n v="2203"/>
    <n v="1848"/>
    <n v="12"/>
    <x v="0"/>
    <x v="10"/>
    <x v="3"/>
    <d v="2023-07-03T00:00:00"/>
    <s v="Jessica Richardson"/>
    <x v="3"/>
    <s v="San Diego"/>
    <x v="17"/>
    <x v="2"/>
  </r>
  <r>
    <s v="B-25555"/>
    <n v="4051"/>
    <n v="2203"/>
    <n v="1848"/>
    <n v="12"/>
    <x v="0"/>
    <x v="10"/>
    <x v="3"/>
    <d v="2021-05-08T00:00:00"/>
    <s v="Kimberly Warren"/>
    <x v="5"/>
    <s v="Cincinnati"/>
    <x v="18"/>
    <x v="3"/>
  </r>
  <r>
    <s v="B-25555"/>
    <n v="5011"/>
    <n v="4145"/>
    <n v="866"/>
    <n v="11"/>
    <x v="2"/>
    <x v="11"/>
    <x v="3"/>
    <d v="2023-07-03T00:00:00"/>
    <s v="Jessica Richardson"/>
    <x v="3"/>
    <s v="San Diego"/>
    <x v="17"/>
    <x v="2"/>
  </r>
  <r>
    <s v="B-25555"/>
    <n v="5011"/>
    <n v="4145"/>
    <n v="866"/>
    <n v="11"/>
    <x v="2"/>
    <x v="11"/>
    <x v="3"/>
    <d v="2021-05-08T00:00:00"/>
    <s v="Kimberly Warren"/>
    <x v="5"/>
    <s v="Cincinnati"/>
    <x v="18"/>
    <x v="3"/>
  </r>
  <r>
    <s v="B-26139"/>
    <n v="3958"/>
    <n v="3328"/>
    <n v="630"/>
    <n v="15"/>
    <x v="2"/>
    <x v="7"/>
    <x v="2"/>
    <d v="2022-10-07T00:00:00"/>
    <s v="Casey Garcia"/>
    <x v="0"/>
    <s v="Orlando"/>
    <x v="15"/>
    <x v="4"/>
  </r>
  <r>
    <s v="B-26139"/>
    <n v="3132"/>
    <n v="2169"/>
    <n v="963"/>
    <n v="1"/>
    <x v="2"/>
    <x v="4"/>
    <x v="1"/>
    <d v="2022-10-07T00:00:00"/>
    <s v="Casey Garcia"/>
    <x v="0"/>
    <s v="Orlando"/>
    <x v="15"/>
    <x v="4"/>
  </r>
  <r>
    <s v="B-25032"/>
    <n v="7784"/>
    <n v="4847"/>
    <n v="2937"/>
    <n v="12"/>
    <x v="1"/>
    <x v="6"/>
    <x v="0"/>
    <d v="2024-08-06T00:00:00"/>
    <s v="Denise Hampton"/>
    <x v="3"/>
    <s v="San Francisco"/>
    <x v="19"/>
    <x v="9"/>
  </r>
  <r>
    <s v="B-25032"/>
    <n v="5591"/>
    <n v="3895"/>
    <n v="1696"/>
    <n v="3"/>
    <x v="1"/>
    <x v="2"/>
    <x v="4"/>
    <d v="2024-08-06T00:00:00"/>
    <s v="Denise Hampton"/>
    <x v="3"/>
    <s v="San Francisco"/>
    <x v="19"/>
    <x v="9"/>
  </r>
  <r>
    <s v="B-25032"/>
    <n v="5122"/>
    <n v="2709"/>
    <n v="2413"/>
    <n v="12"/>
    <x v="0"/>
    <x v="0"/>
    <x v="4"/>
    <d v="2024-08-06T00:00:00"/>
    <s v="Denise Hampton"/>
    <x v="3"/>
    <s v="San Francisco"/>
    <x v="19"/>
    <x v="9"/>
  </r>
  <r>
    <s v="B-25730"/>
    <n v="8293"/>
    <n v="5661"/>
    <n v="2632"/>
    <n v="8"/>
    <x v="1"/>
    <x v="9"/>
    <x v="4"/>
    <d v="2022-01-05T00:00:00"/>
    <s v="Justin Rodriguez"/>
    <x v="5"/>
    <s v="Cleveland"/>
    <x v="12"/>
    <x v="8"/>
  </r>
  <r>
    <s v="B-25730"/>
    <n v="8293"/>
    <n v="5661"/>
    <n v="2632"/>
    <n v="8"/>
    <x v="1"/>
    <x v="9"/>
    <x v="4"/>
    <d v="2020-10-17T00:00:00"/>
    <s v="Ms. Emily Baxter"/>
    <x v="2"/>
    <s v="Rochester"/>
    <x v="20"/>
    <x v="4"/>
  </r>
  <r>
    <s v="B-25730"/>
    <n v="8293"/>
    <n v="5661"/>
    <n v="2632"/>
    <n v="8"/>
    <x v="1"/>
    <x v="9"/>
    <x v="4"/>
    <d v="2023-08-21T00:00:00"/>
    <s v="Austin White"/>
    <x v="3"/>
    <s v="Los Angeles"/>
    <x v="21"/>
    <x v="9"/>
  </r>
  <r>
    <s v="B-25730"/>
    <n v="2863"/>
    <n v="2658"/>
    <n v="205"/>
    <n v="17"/>
    <x v="0"/>
    <x v="10"/>
    <x v="0"/>
    <d v="2022-01-05T00:00:00"/>
    <s v="Justin Rodriguez"/>
    <x v="5"/>
    <s v="Cleveland"/>
    <x v="12"/>
    <x v="8"/>
  </r>
  <r>
    <s v="B-25730"/>
    <n v="2863"/>
    <n v="2658"/>
    <n v="205"/>
    <n v="17"/>
    <x v="0"/>
    <x v="10"/>
    <x v="0"/>
    <d v="2020-10-17T00:00:00"/>
    <s v="Ms. Emily Baxter"/>
    <x v="2"/>
    <s v="Rochester"/>
    <x v="20"/>
    <x v="4"/>
  </r>
  <r>
    <s v="B-25730"/>
    <n v="2863"/>
    <n v="2658"/>
    <n v="205"/>
    <n v="17"/>
    <x v="0"/>
    <x v="10"/>
    <x v="0"/>
    <d v="2023-08-21T00:00:00"/>
    <s v="Austin White"/>
    <x v="3"/>
    <s v="Los Angeles"/>
    <x v="21"/>
    <x v="9"/>
  </r>
  <r>
    <s v="B-26470"/>
    <n v="3090"/>
    <n v="2517"/>
    <n v="573"/>
    <n v="6"/>
    <x v="2"/>
    <x v="4"/>
    <x v="2"/>
    <d v="2024-12-27T00:00:00"/>
    <s v="Morgan Montes"/>
    <x v="3"/>
    <s v="San Diego"/>
    <x v="1"/>
    <x v="1"/>
  </r>
  <r>
    <s v="B-26470"/>
    <n v="3090"/>
    <n v="2517"/>
    <n v="573"/>
    <n v="6"/>
    <x v="2"/>
    <x v="4"/>
    <x v="2"/>
    <d v="2021-06-18T00:00:00"/>
    <s v="Christine Mosley"/>
    <x v="5"/>
    <s v="Cincinnati"/>
    <x v="22"/>
    <x v="0"/>
  </r>
  <r>
    <s v="B-26470"/>
    <n v="3090"/>
    <n v="2517"/>
    <n v="573"/>
    <n v="6"/>
    <x v="2"/>
    <x v="4"/>
    <x v="2"/>
    <d v="2023-05-27T00:00:00"/>
    <s v="Ashley Rodriguez"/>
    <x v="4"/>
    <s v="Austin"/>
    <x v="23"/>
    <x v="3"/>
  </r>
  <r>
    <s v="B-26470"/>
    <n v="3090"/>
    <n v="2517"/>
    <n v="573"/>
    <n v="6"/>
    <x v="2"/>
    <x v="4"/>
    <x v="2"/>
    <d v="2021-10-12T00:00:00"/>
    <s v="Elizabeth King"/>
    <x v="4"/>
    <s v="Dallas"/>
    <x v="4"/>
    <x v="4"/>
  </r>
  <r>
    <s v="B-26470"/>
    <n v="9683"/>
    <n v="8669"/>
    <n v="1014"/>
    <n v="5"/>
    <x v="0"/>
    <x v="1"/>
    <x v="0"/>
    <d v="2024-12-27T00:00:00"/>
    <s v="Morgan Montes"/>
    <x v="3"/>
    <s v="San Diego"/>
    <x v="1"/>
    <x v="1"/>
  </r>
  <r>
    <s v="B-26470"/>
    <n v="9683"/>
    <n v="8669"/>
    <n v="1014"/>
    <n v="5"/>
    <x v="0"/>
    <x v="1"/>
    <x v="0"/>
    <d v="2021-06-18T00:00:00"/>
    <s v="Christine Mosley"/>
    <x v="5"/>
    <s v="Cincinnati"/>
    <x v="22"/>
    <x v="0"/>
  </r>
  <r>
    <s v="B-26470"/>
    <n v="9683"/>
    <n v="8669"/>
    <n v="1014"/>
    <n v="5"/>
    <x v="0"/>
    <x v="1"/>
    <x v="0"/>
    <d v="2023-05-27T00:00:00"/>
    <s v="Ashley Rodriguez"/>
    <x v="4"/>
    <s v="Austin"/>
    <x v="23"/>
    <x v="3"/>
  </r>
  <r>
    <s v="B-26470"/>
    <n v="9683"/>
    <n v="8669"/>
    <n v="1014"/>
    <n v="5"/>
    <x v="0"/>
    <x v="1"/>
    <x v="0"/>
    <d v="2021-10-12T00:00:00"/>
    <s v="Elizabeth King"/>
    <x v="4"/>
    <s v="Dallas"/>
    <x v="4"/>
    <x v="4"/>
  </r>
  <r>
    <s v="B-25988"/>
    <n v="2463"/>
    <n v="1815"/>
    <n v="648"/>
    <n v="18"/>
    <x v="2"/>
    <x v="4"/>
    <x v="2"/>
    <d v="2022-09-19T00:00:00"/>
    <s v="Connie Holmes"/>
    <x v="5"/>
    <s v="Cincinnati"/>
    <x v="24"/>
    <x v="10"/>
  </r>
  <r>
    <s v="B-25568"/>
    <n v="7811"/>
    <n v="6273"/>
    <n v="1538"/>
    <n v="12"/>
    <x v="2"/>
    <x v="7"/>
    <x v="4"/>
    <d v="2022-03-25T00:00:00"/>
    <s v="Melissa Peck"/>
    <x v="0"/>
    <s v="Miami"/>
    <x v="25"/>
    <x v="6"/>
  </r>
  <r>
    <s v="B-26730"/>
    <n v="6139"/>
    <n v="5688"/>
    <n v="451"/>
    <n v="10"/>
    <x v="2"/>
    <x v="4"/>
    <x v="1"/>
    <d v="2022-02-26T00:00:00"/>
    <s v="David Smith"/>
    <x v="0"/>
    <s v="Orlando"/>
    <x v="26"/>
    <x v="7"/>
  </r>
  <r>
    <s v="B-26730"/>
    <n v="6139"/>
    <n v="5688"/>
    <n v="451"/>
    <n v="10"/>
    <x v="2"/>
    <x v="4"/>
    <x v="1"/>
    <d v="2021-04-05T00:00:00"/>
    <s v="Jacqueline Harris"/>
    <x v="4"/>
    <s v="Houston"/>
    <x v="27"/>
    <x v="11"/>
  </r>
  <r>
    <s v="B-26730"/>
    <n v="8636"/>
    <n v="5444"/>
    <n v="3192"/>
    <n v="3"/>
    <x v="2"/>
    <x v="5"/>
    <x v="4"/>
    <d v="2022-02-26T00:00:00"/>
    <s v="David Smith"/>
    <x v="0"/>
    <s v="Orlando"/>
    <x v="26"/>
    <x v="7"/>
  </r>
  <r>
    <s v="B-26730"/>
    <n v="8636"/>
    <n v="5444"/>
    <n v="3192"/>
    <n v="3"/>
    <x v="2"/>
    <x v="5"/>
    <x v="4"/>
    <d v="2021-04-05T00:00:00"/>
    <s v="Jacqueline Harris"/>
    <x v="4"/>
    <s v="Houston"/>
    <x v="27"/>
    <x v="11"/>
  </r>
  <r>
    <s v="B-26730"/>
    <n v="4439"/>
    <n v="2727"/>
    <n v="1712"/>
    <n v="19"/>
    <x v="2"/>
    <x v="7"/>
    <x v="3"/>
    <d v="2022-02-26T00:00:00"/>
    <s v="David Smith"/>
    <x v="0"/>
    <s v="Orlando"/>
    <x v="26"/>
    <x v="7"/>
  </r>
  <r>
    <s v="B-26730"/>
    <n v="4439"/>
    <n v="2727"/>
    <n v="1712"/>
    <n v="19"/>
    <x v="2"/>
    <x v="7"/>
    <x v="3"/>
    <d v="2021-04-05T00:00:00"/>
    <s v="Jacqueline Harris"/>
    <x v="4"/>
    <s v="Houston"/>
    <x v="27"/>
    <x v="11"/>
  </r>
  <r>
    <s v="B-25372"/>
    <n v="1016"/>
    <n v="844"/>
    <n v="172"/>
    <n v="20"/>
    <x v="2"/>
    <x v="4"/>
    <x v="1"/>
    <d v="2020-11-16T00:00:00"/>
    <s v="Heather Jenkins"/>
    <x v="2"/>
    <s v="Buffalo"/>
    <x v="11"/>
    <x v="5"/>
  </r>
  <r>
    <s v="B-25372"/>
    <n v="5768"/>
    <n v="3709"/>
    <n v="2059"/>
    <n v="14"/>
    <x v="2"/>
    <x v="4"/>
    <x v="0"/>
    <d v="2020-11-16T00:00:00"/>
    <s v="Heather Jenkins"/>
    <x v="2"/>
    <s v="Buffalo"/>
    <x v="11"/>
    <x v="5"/>
  </r>
  <r>
    <s v="B-25372"/>
    <n v="1217"/>
    <n v="1066"/>
    <n v="151"/>
    <n v="3"/>
    <x v="2"/>
    <x v="4"/>
    <x v="3"/>
    <d v="2020-11-16T00:00:00"/>
    <s v="Heather Jenkins"/>
    <x v="2"/>
    <s v="Buffalo"/>
    <x v="11"/>
    <x v="5"/>
  </r>
  <r>
    <s v="B-26026"/>
    <n v="953"/>
    <n v="860"/>
    <n v="93"/>
    <n v="2"/>
    <x v="1"/>
    <x v="8"/>
    <x v="1"/>
    <d v="2024-12-12T00:00:00"/>
    <s v="Kelsey Castaneda"/>
    <x v="5"/>
    <s v="Cleveland"/>
    <x v="1"/>
    <x v="1"/>
  </r>
  <r>
    <s v="B-26026"/>
    <n v="953"/>
    <n v="860"/>
    <n v="93"/>
    <n v="2"/>
    <x v="1"/>
    <x v="8"/>
    <x v="1"/>
    <d v="2023-04-06T00:00:00"/>
    <s v="Katherine Harris"/>
    <x v="3"/>
    <s v="Los Angeles"/>
    <x v="28"/>
    <x v="11"/>
  </r>
  <r>
    <s v="B-26026"/>
    <n v="7355"/>
    <n v="6321"/>
    <n v="1034"/>
    <n v="3"/>
    <x v="2"/>
    <x v="7"/>
    <x v="4"/>
    <d v="2024-12-12T00:00:00"/>
    <s v="Kelsey Castaneda"/>
    <x v="5"/>
    <s v="Cleveland"/>
    <x v="1"/>
    <x v="1"/>
  </r>
  <r>
    <s v="B-26026"/>
    <n v="7355"/>
    <n v="6321"/>
    <n v="1034"/>
    <n v="3"/>
    <x v="2"/>
    <x v="7"/>
    <x v="4"/>
    <d v="2023-04-06T00:00:00"/>
    <s v="Katherine Harris"/>
    <x v="3"/>
    <s v="Los Angeles"/>
    <x v="28"/>
    <x v="11"/>
  </r>
  <r>
    <s v="B-26026"/>
    <n v="1843"/>
    <n v="1595"/>
    <n v="248"/>
    <n v="3"/>
    <x v="0"/>
    <x v="10"/>
    <x v="3"/>
    <d v="2024-12-12T00:00:00"/>
    <s v="Kelsey Castaneda"/>
    <x v="5"/>
    <s v="Cleveland"/>
    <x v="1"/>
    <x v="1"/>
  </r>
  <r>
    <s v="B-26026"/>
    <n v="1843"/>
    <n v="1595"/>
    <n v="248"/>
    <n v="3"/>
    <x v="0"/>
    <x v="10"/>
    <x v="3"/>
    <d v="2023-04-06T00:00:00"/>
    <s v="Katherine Harris"/>
    <x v="3"/>
    <s v="Los Angeles"/>
    <x v="28"/>
    <x v="11"/>
  </r>
  <r>
    <s v="B-26026"/>
    <n v="1603"/>
    <n v="1242"/>
    <n v="361"/>
    <n v="10"/>
    <x v="1"/>
    <x v="2"/>
    <x v="1"/>
    <d v="2024-12-12T00:00:00"/>
    <s v="Kelsey Castaneda"/>
    <x v="5"/>
    <s v="Cleveland"/>
    <x v="1"/>
    <x v="1"/>
  </r>
  <r>
    <s v="B-26026"/>
    <n v="1603"/>
    <n v="1242"/>
    <n v="361"/>
    <n v="10"/>
    <x v="1"/>
    <x v="2"/>
    <x v="1"/>
    <d v="2023-04-06T00:00:00"/>
    <s v="Katherine Harris"/>
    <x v="3"/>
    <s v="Los Angeles"/>
    <x v="28"/>
    <x v="11"/>
  </r>
  <r>
    <s v="B-25295"/>
    <n v="2025"/>
    <n v="1497"/>
    <n v="528"/>
    <n v="1"/>
    <x v="1"/>
    <x v="2"/>
    <x v="3"/>
    <d v="2024-01-28T00:00:00"/>
    <s v="Paul Rogers"/>
    <x v="0"/>
    <s v="Miami"/>
    <x v="10"/>
    <x v="8"/>
  </r>
  <r>
    <s v="B-25295"/>
    <n v="6800"/>
    <n v="6633"/>
    <n v="167"/>
    <n v="16"/>
    <x v="1"/>
    <x v="9"/>
    <x v="2"/>
    <d v="2024-01-28T00:00:00"/>
    <s v="Paul Rogers"/>
    <x v="0"/>
    <s v="Miami"/>
    <x v="10"/>
    <x v="8"/>
  </r>
  <r>
    <s v="B-26121"/>
    <n v="1126"/>
    <n v="1071"/>
    <n v="55"/>
    <n v="1"/>
    <x v="2"/>
    <x v="11"/>
    <x v="0"/>
    <d v="2022-01-16T00:00:00"/>
    <s v="Jon Banks"/>
    <x v="0"/>
    <s v="Tampa"/>
    <x v="12"/>
    <x v="8"/>
  </r>
  <r>
    <s v="B-26121"/>
    <n v="1126"/>
    <n v="1071"/>
    <n v="55"/>
    <n v="1"/>
    <x v="2"/>
    <x v="11"/>
    <x v="0"/>
    <d v="2022-12-16T00:00:00"/>
    <s v="Michelle Williams"/>
    <x v="2"/>
    <s v="Buffalo"/>
    <x v="29"/>
    <x v="1"/>
  </r>
  <r>
    <s v="B-25560"/>
    <n v="7533"/>
    <n v="4025"/>
    <n v="3508"/>
    <n v="12"/>
    <x v="2"/>
    <x v="4"/>
    <x v="0"/>
    <d v="2023-07-13T00:00:00"/>
    <s v="Andrew Allen"/>
    <x v="3"/>
    <s v="San Diego"/>
    <x v="17"/>
    <x v="2"/>
  </r>
  <r>
    <s v="B-25560"/>
    <n v="4734"/>
    <n v="3556"/>
    <n v="1178"/>
    <n v="16"/>
    <x v="1"/>
    <x v="9"/>
    <x v="3"/>
    <d v="2023-07-13T00:00:00"/>
    <s v="Andrew Allen"/>
    <x v="3"/>
    <s v="San Diego"/>
    <x v="17"/>
    <x v="2"/>
  </r>
  <r>
    <s v="B-25560"/>
    <n v="4074"/>
    <n v="2899"/>
    <n v="1175"/>
    <n v="6"/>
    <x v="0"/>
    <x v="0"/>
    <x v="1"/>
    <d v="2023-07-13T00:00:00"/>
    <s v="Andrew Allen"/>
    <x v="3"/>
    <s v="San Diego"/>
    <x v="17"/>
    <x v="2"/>
  </r>
  <r>
    <s v="B-25560"/>
    <n v="2334"/>
    <n v="1850"/>
    <n v="484"/>
    <n v="3"/>
    <x v="2"/>
    <x v="7"/>
    <x v="3"/>
    <d v="2023-07-13T00:00:00"/>
    <s v="Andrew Allen"/>
    <x v="3"/>
    <s v="San Diego"/>
    <x v="17"/>
    <x v="2"/>
  </r>
  <r>
    <s v="B-26076"/>
    <n v="2750"/>
    <n v="1511"/>
    <n v="1239"/>
    <n v="11"/>
    <x v="0"/>
    <x v="10"/>
    <x v="1"/>
    <d v="2025-03-10T00:00:00"/>
    <s v="Vanessa Bauer"/>
    <x v="2"/>
    <s v="Buffalo"/>
    <x v="30"/>
    <x v="6"/>
  </r>
  <r>
    <s v="B-26076"/>
    <n v="2750"/>
    <n v="1511"/>
    <n v="1239"/>
    <n v="11"/>
    <x v="0"/>
    <x v="10"/>
    <x v="1"/>
    <d v="2024-09-24T00:00:00"/>
    <s v="Sean Smith"/>
    <x v="5"/>
    <s v="Cleveland"/>
    <x v="31"/>
    <x v="10"/>
  </r>
  <r>
    <s v="B-26076"/>
    <n v="8639"/>
    <n v="5535"/>
    <n v="3104"/>
    <n v="19"/>
    <x v="1"/>
    <x v="2"/>
    <x v="2"/>
    <d v="2025-03-10T00:00:00"/>
    <s v="Vanessa Bauer"/>
    <x v="2"/>
    <s v="Buffalo"/>
    <x v="30"/>
    <x v="6"/>
  </r>
  <r>
    <s v="B-26076"/>
    <n v="8639"/>
    <n v="5535"/>
    <n v="3104"/>
    <n v="19"/>
    <x v="1"/>
    <x v="2"/>
    <x v="2"/>
    <d v="2024-09-24T00:00:00"/>
    <s v="Sean Smith"/>
    <x v="5"/>
    <s v="Cleveland"/>
    <x v="31"/>
    <x v="10"/>
  </r>
  <r>
    <s v="B-25872"/>
    <n v="3808"/>
    <n v="2616"/>
    <n v="1192"/>
    <n v="4"/>
    <x v="1"/>
    <x v="6"/>
    <x v="0"/>
    <d v="2020-04-13T00:00:00"/>
    <s v="Shelly Sweeney"/>
    <x v="2"/>
    <s v="New York City"/>
    <x v="32"/>
    <x v="11"/>
  </r>
  <r>
    <s v="B-25872"/>
    <n v="2588"/>
    <n v="1883"/>
    <n v="705"/>
    <n v="16"/>
    <x v="1"/>
    <x v="2"/>
    <x v="3"/>
    <d v="2020-04-13T00:00:00"/>
    <s v="Shelly Sweeney"/>
    <x v="2"/>
    <s v="New York City"/>
    <x v="32"/>
    <x v="11"/>
  </r>
  <r>
    <s v="B-26185"/>
    <n v="1591"/>
    <n v="864"/>
    <n v="727"/>
    <n v="5"/>
    <x v="0"/>
    <x v="0"/>
    <x v="3"/>
    <d v="2022-06-27T00:00:00"/>
    <s v="Emily Gill"/>
    <x v="1"/>
    <s v="Springfield"/>
    <x v="33"/>
    <x v="0"/>
  </r>
  <r>
    <s v="B-26185"/>
    <n v="1591"/>
    <n v="864"/>
    <n v="727"/>
    <n v="5"/>
    <x v="0"/>
    <x v="0"/>
    <x v="3"/>
    <d v="2021-03-14T00:00:00"/>
    <s v="Brian Patrick"/>
    <x v="0"/>
    <s v="Tampa"/>
    <x v="34"/>
    <x v="6"/>
  </r>
  <r>
    <s v="B-26185"/>
    <n v="1591"/>
    <n v="864"/>
    <n v="727"/>
    <n v="5"/>
    <x v="0"/>
    <x v="0"/>
    <x v="3"/>
    <d v="2022-02-23T00:00:00"/>
    <s v="Dr. Sarah Booth"/>
    <x v="5"/>
    <s v="Cincinnati"/>
    <x v="26"/>
    <x v="7"/>
  </r>
  <r>
    <s v="B-26259"/>
    <n v="1757"/>
    <n v="1135"/>
    <n v="622"/>
    <n v="10"/>
    <x v="2"/>
    <x v="5"/>
    <x v="0"/>
    <d v="2022-03-29T00:00:00"/>
    <s v="Douglas Mcfarland"/>
    <x v="5"/>
    <s v="Cleveland"/>
    <x v="25"/>
    <x v="6"/>
  </r>
  <r>
    <s v="B-26259"/>
    <n v="1757"/>
    <n v="1135"/>
    <n v="622"/>
    <n v="10"/>
    <x v="2"/>
    <x v="5"/>
    <x v="0"/>
    <d v="2022-11-20T00:00:00"/>
    <s v="Kayla Ross"/>
    <x v="1"/>
    <s v="Peoria"/>
    <x v="5"/>
    <x v="5"/>
  </r>
  <r>
    <s v="B-25142"/>
    <n v="6940"/>
    <n v="6687"/>
    <n v="253"/>
    <n v="15"/>
    <x v="2"/>
    <x v="11"/>
    <x v="1"/>
    <d v="2021-11-12T00:00:00"/>
    <s v="Marc Strickland"/>
    <x v="0"/>
    <s v="Orlando"/>
    <x v="35"/>
    <x v="5"/>
  </r>
  <r>
    <s v="B-25142"/>
    <n v="5105"/>
    <n v="4640"/>
    <n v="465"/>
    <n v="5"/>
    <x v="0"/>
    <x v="1"/>
    <x v="0"/>
    <d v="2021-11-12T00:00:00"/>
    <s v="Marc Strickland"/>
    <x v="0"/>
    <s v="Orlando"/>
    <x v="35"/>
    <x v="5"/>
  </r>
  <r>
    <s v="B-25326"/>
    <n v="5578"/>
    <n v="5301"/>
    <n v="277"/>
    <n v="16"/>
    <x v="2"/>
    <x v="4"/>
    <x v="4"/>
    <d v="2021-08-17T00:00:00"/>
    <s v="Charlene Brown"/>
    <x v="0"/>
    <s v="Miami"/>
    <x v="36"/>
    <x v="9"/>
  </r>
  <r>
    <s v="B-25326"/>
    <n v="5578"/>
    <n v="5301"/>
    <n v="277"/>
    <n v="16"/>
    <x v="2"/>
    <x v="4"/>
    <x v="4"/>
    <d v="2022-05-16T00:00:00"/>
    <s v="Charles Smith"/>
    <x v="5"/>
    <s v="Columbus"/>
    <x v="37"/>
    <x v="3"/>
  </r>
  <r>
    <s v="B-26795"/>
    <n v="5224"/>
    <n v="3266"/>
    <n v="1958"/>
    <n v="16"/>
    <x v="2"/>
    <x v="5"/>
    <x v="3"/>
    <d v="2023-07-16T00:00:00"/>
    <s v="Karen Townsend"/>
    <x v="4"/>
    <s v="Houston"/>
    <x v="17"/>
    <x v="2"/>
  </r>
  <r>
    <s v="B-26795"/>
    <n v="5002"/>
    <n v="3201"/>
    <n v="1801"/>
    <n v="11"/>
    <x v="1"/>
    <x v="6"/>
    <x v="3"/>
    <d v="2023-07-16T00:00:00"/>
    <s v="Karen Townsend"/>
    <x v="4"/>
    <s v="Houston"/>
    <x v="17"/>
    <x v="2"/>
  </r>
  <r>
    <s v="B-26795"/>
    <n v="7380"/>
    <n v="5707"/>
    <n v="1673"/>
    <n v="18"/>
    <x v="1"/>
    <x v="6"/>
    <x v="4"/>
    <d v="2023-07-16T00:00:00"/>
    <s v="Karen Townsend"/>
    <x v="4"/>
    <s v="Houston"/>
    <x v="17"/>
    <x v="2"/>
  </r>
  <r>
    <s v="B-25660"/>
    <n v="7595"/>
    <n v="4722"/>
    <n v="2873"/>
    <n v="4"/>
    <x v="2"/>
    <x v="5"/>
    <x v="1"/>
    <d v="2020-08-18T00:00:00"/>
    <s v="Steven Cox"/>
    <x v="3"/>
    <s v="Los Angeles"/>
    <x v="38"/>
    <x v="9"/>
  </r>
  <r>
    <s v="B-25660"/>
    <n v="7595"/>
    <n v="4722"/>
    <n v="2873"/>
    <n v="4"/>
    <x v="2"/>
    <x v="5"/>
    <x v="1"/>
    <d v="2022-04-19T00:00:00"/>
    <s v="Cynthia Rodriguez"/>
    <x v="2"/>
    <s v="Rochester"/>
    <x v="39"/>
    <x v="11"/>
  </r>
  <r>
    <s v="B-25410"/>
    <n v="1954"/>
    <n v="1660"/>
    <n v="294"/>
    <n v="7"/>
    <x v="2"/>
    <x v="7"/>
    <x v="1"/>
    <d v="2022-12-23T00:00:00"/>
    <s v="Jessica Baker"/>
    <x v="4"/>
    <s v="Austin"/>
    <x v="29"/>
    <x v="1"/>
  </r>
  <r>
    <s v="B-25690"/>
    <n v="523"/>
    <n v="428"/>
    <n v="95"/>
    <n v="20"/>
    <x v="0"/>
    <x v="1"/>
    <x v="2"/>
    <d v="2024-12-07T00:00:00"/>
    <s v="Mark Blackburn"/>
    <x v="4"/>
    <s v="Dallas"/>
    <x v="1"/>
    <x v="1"/>
  </r>
  <r>
    <s v="B-26464"/>
    <n v="5704"/>
    <n v="4990"/>
    <n v="714"/>
    <n v="13"/>
    <x v="0"/>
    <x v="3"/>
    <x v="2"/>
    <d v="2022-02-03T00:00:00"/>
    <s v="Zachary Perez"/>
    <x v="4"/>
    <s v="Austin"/>
    <x v="26"/>
    <x v="7"/>
  </r>
  <r>
    <s v="B-26464"/>
    <n v="5704"/>
    <n v="4990"/>
    <n v="714"/>
    <n v="13"/>
    <x v="0"/>
    <x v="3"/>
    <x v="2"/>
    <d v="2021-12-12T00:00:00"/>
    <s v="Brian Green"/>
    <x v="3"/>
    <s v="San Diego"/>
    <x v="13"/>
    <x v="1"/>
  </r>
  <r>
    <s v="B-26464"/>
    <n v="8797"/>
    <n v="7787"/>
    <n v="1010"/>
    <n v="8"/>
    <x v="2"/>
    <x v="4"/>
    <x v="0"/>
    <d v="2022-02-03T00:00:00"/>
    <s v="Zachary Perez"/>
    <x v="4"/>
    <s v="Austin"/>
    <x v="26"/>
    <x v="7"/>
  </r>
  <r>
    <s v="B-26464"/>
    <n v="8797"/>
    <n v="7787"/>
    <n v="1010"/>
    <n v="8"/>
    <x v="2"/>
    <x v="4"/>
    <x v="0"/>
    <d v="2021-12-12T00:00:00"/>
    <s v="Brian Green"/>
    <x v="3"/>
    <s v="San Diego"/>
    <x v="13"/>
    <x v="1"/>
  </r>
  <r>
    <s v="B-26464"/>
    <n v="9236"/>
    <n v="6337"/>
    <n v="2899"/>
    <n v="5"/>
    <x v="0"/>
    <x v="3"/>
    <x v="1"/>
    <d v="2022-02-03T00:00:00"/>
    <s v="Zachary Perez"/>
    <x v="4"/>
    <s v="Austin"/>
    <x v="26"/>
    <x v="7"/>
  </r>
  <r>
    <s v="B-26464"/>
    <n v="9236"/>
    <n v="6337"/>
    <n v="2899"/>
    <n v="5"/>
    <x v="0"/>
    <x v="3"/>
    <x v="1"/>
    <d v="2021-12-12T00:00:00"/>
    <s v="Brian Green"/>
    <x v="3"/>
    <s v="San Diego"/>
    <x v="13"/>
    <x v="1"/>
  </r>
  <r>
    <s v="B-26454"/>
    <n v="9109"/>
    <n v="8523"/>
    <n v="586"/>
    <n v="17"/>
    <x v="2"/>
    <x v="7"/>
    <x v="2"/>
    <d v="2020-05-17T00:00:00"/>
    <s v="Becky Leach"/>
    <x v="0"/>
    <s v="Miami"/>
    <x v="8"/>
    <x v="3"/>
  </r>
  <r>
    <s v="B-26742"/>
    <n v="4358"/>
    <n v="3832"/>
    <n v="526"/>
    <n v="19"/>
    <x v="0"/>
    <x v="10"/>
    <x v="3"/>
    <d v="2022-12-05T00:00:00"/>
    <s v="Bryan Russell"/>
    <x v="4"/>
    <s v="Dallas"/>
    <x v="29"/>
    <x v="1"/>
  </r>
  <r>
    <s v="B-26742"/>
    <n v="4358"/>
    <n v="3832"/>
    <n v="526"/>
    <n v="19"/>
    <x v="0"/>
    <x v="10"/>
    <x v="3"/>
    <d v="2024-09-17T00:00:00"/>
    <s v="Tony Maddox"/>
    <x v="3"/>
    <s v="San Francisco"/>
    <x v="31"/>
    <x v="10"/>
  </r>
  <r>
    <s v="B-26742"/>
    <n v="6459"/>
    <n v="5634"/>
    <n v="825"/>
    <n v="8"/>
    <x v="0"/>
    <x v="10"/>
    <x v="3"/>
    <d v="2022-12-05T00:00:00"/>
    <s v="Bryan Russell"/>
    <x v="4"/>
    <s v="Dallas"/>
    <x v="29"/>
    <x v="1"/>
  </r>
  <r>
    <s v="B-26742"/>
    <n v="6459"/>
    <n v="5634"/>
    <n v="825"/>
    <n v="8"/>
    <x v="0"/>
    <x v="10"/>
    <x v="3"/>
    <d v="2024-09-17T00:00:00"/>
    <s v="Tony Maddox"/>
    <x v="3"/>
    <s v="San Francisco"/>
    <x v="31"/>
    <x v="10"/>
  </r>
  <r>
    <s v="B-25510"/>
    <n v="2478"/>
    <n v="2386"/>
    <n v="92"/>
    <n v="12"/>
    <x v="2"/>
    <x v="11"/>
    <x v="4"/>
    <d v="2023-05-08T00:00:00"/>
    <s v="Jason Randolph"/>
    <x v="3"/>
    <s v="San Francisco"/>
    <x v="23"/>
    <x v="3"/>
  </r>
  <r>
    <s v="B-25510"/>
    <n v="2478"/>
    <n v="2386"/>
    <n v="92"/>
    <n v="12"/>
    <x v="2"/>
    <x v="11"/>
    <x v="4"/>
    <d v="2021-03-03T00:00:00"/>
    <s v="Laura Andrews"/>
    <x v="2"/>
    <s v="New York City"/>
    <x v="34"/>
    <x v="6"/>
  </r>
  <r>
    <s v="B-25510"/>
    <n v="2478"/>
    <n v="2386"/>
    <n v="92"/>
    <n v="12"/>
    <x v="2"/>
    <x v="11"/>
    <x v="4"/>
    <d v="2021-03-18T00:00:00"/>
    <s v="Mrs. Stephanie Hooper"/>
    <x v="3"/>
    <s v="San Francisco"/>
    <x v="34"/>
    <x v="6"/>
  </r>
  <r>
    <s v="B-25510"/>
    <n v="2478"/>
    <n v="2386"/>
    <n v="92"/>
    <n v="12"/>
    <x v="2"/>
    <x v="11"/>
    <x v="4"/>
    <d v="2023-04-24T00:00:00"/>
    <s v="Anthony Evans"/>
    <x v="5"/>
    <s v="Cleveland"/>
    <x v="28"/>
    <x v="11"/>
  </r>
  <r>
    <s v="B-25936"/>
    <n v="9992"/>
    <n v="6296"/>
    <n v="3696"/>
    <n v="20"/>
    <x v="1"/>
    <x v="2"/>
    <x v="1"/>
    <d v="2021-10-09T00:00:00"/>
    <s v="Patrick Williams"/>
    <x v="2"/>
    <s v="Rochester"/>
    <x v="4"/>
    <x v="4"/>
  </r>
  <r>
    <s v="B-25936"/>
    <n v="9992"/>
    <n v="6296"/>
    <n v="3696"/>
    <n v="20"/>
    <x v="1"/>
    <x v="2"/>
    <x v="1"/>
    <d v="2022-04-15T00:00:00"/>
    <s v="Susan Burke"/>
    <x v="4"/>
    <s v="Austin"/>
    <x v="39"/>
    <x v="11"/>
  </r>
  <r>
    <s v="B-25936"/>
    <n v="9992"/>
    <n v="6296"/>
    <n v="3696"/>
    <n v="20"/>
    <x v="1"/>
    <x v="2"/>
    <x v="1"/>
    <d v="2022-08-29T00:00:00"/>
    <s v="Brent Hernandez"/>
    <x v="2"/>
    <s v="Rochester"/>
    <x v="40"/>
    <x v="9"/>
  </r>
  <r>
    <s v="B-25936"/>
    <n v="9619"/>
    <n v="6199"/>
    <n v="3420"/>
    <n v="7"/>
    <x v="1"/>
    <x v="9"/>
    <x v="0"/>
    <d v="2021-10-09T00:00:00"/>
    <s v="Patrick Williams"/>
    <x v="2"/>
    <s v="Rochester"/>
    <x v="4"/>
    <x v="4"/>
  </r>
  <r>
    <s v="B-25936"/>
    <n v="9619"/>
    <n v="6199"/>
    <n v="3420"/>
    <n v="7"/>
    <x v="1"/>
    <x v="9"/>
    <x v="0"/>
    <d v="2022-04-15T00:00:00"/>
    <s v="Susan Burke"/>
    <x v="4"/>
    <s v="Austin"/>
    <x v="39"/>
    <x v="11"/>
  </r>
  <r>
    <s v="B-25936"/>
    <n v="9619"/>
    <n v="6199"/>
    <n v="3420"/>
    <n v="7"/>
    <x v="1"/>
    <x v="9"/>
    <x v="0"/>
    <d v="2022-08-29T00:00:00"/>
    <s v="Brent Hernandez"/>
    <x v="2"/>
    <s v="Rochester"/>
    <x v="40"/>
    <x v="9"/>
  </r>
  <r>
    <s v="B-25884"/>
    <n v="9538"/>
    <n v="6380"/>
    <n v="3158"/>
    <n v="20"/>
    <x v="0"/>
    <x v="1"/>
    <x v="3"/>
    <d v="2024-09-04T00:00:00"/>
    <s v="Sean Elliott"/>
    <x v="3"/>
    <s v="San Francisco"/>
    <x v="31"/>
    <x v="10"/>
  </r>
  <r>
    <s v="B-25884"/>
    <n v="9538"/>
    <n v="6380"/>
    <n v="3158"/>
    <n v="20"/>
    <x v="0"/>
    <x v="1"/>
    <x v="3"/>
    <d v="2021-05-18T00:00:00"/>
    <s v="Wanda West"/>
    <x v="5"/>
    <s v="Cleveland"/>
    <x v="18"/>
    <x v="3"/>
  </r>
  <r>
    <s v="B-25884"/>
    <n v="9035"/>
    <n v="7808"/>
    <n v="1227"/>
    <n v="14"/>
    <x v="2"/>
    <x v="5"/>
    <x v="2"/>
    <d v="2024-09-04T00:00:00"/>
    <s v="Sean Elliott"/>
    <x v="3"/>
    <s v="San Francisco"/>
    <x v="31"/>
    <x v="10"/>
  </r>
  <r>
    <s v="B-25884"/>
    <n v="9035"/>
    <n v="7808"/>
    <n v="1227"/>
    <n v="14"/>
    <x v="2"/>
    <x v="5"/>
    <x v="2"/>
    <d v="2021-05-18T00:00:00"/>
    <s v="Wanda West"/>
    <x v="5"/>
    <s v="Cleveland"/>
    <x v="18"/>
    <x v="3"/>
  </r>
  <r>
    <s v="B-26287"/>
    <n v="2684"/>
    <n v="2014"/>
    <n v="670"/>
    <n v="2"/>
    <x v="1"/>
    <x v="8"/>
    <x v="4"/>
    <d v="2024-07-02T00:00:00"/>
    <s v="Renee Solomon"/>
    <x v="0"/>
    <s v="Tampa"/>
    <x v="41"/>
    <x v="2"/>
  </r>
  <r>
    <s v="B-26287"/>
    <n v="822"/>
    <n v="675"/>
    <n v="147"/>
    <n v="5"/>
    <x v="2"/>
    <x v="7"/>
    <x v="3"/>
    <d v="2024-07-02T00:00:00"/>
    <s v="Renee Solomon"/>
    <x v="0"/>
    <s v="Tampa"/>
    <x v="41"/>
    <x v="2"/>
  </r>
  <r>
    <s v="B-26287"/>
    <n v="9730"/>
    <n v="7389"/>
    <n v="2341"/>
    <n v="2"/>
    <x v="2"/>
    <x v="5"/>
    <x v="2"/>
    <d v="2024-07-02T00:00:00"/>
    <s v="Renee Solomon"/>
    <x v="0"/>
    <s v="Tampa"/>
    <x v="41"/>
    <x v="2"/>
  </r>
  <r>
    <s v="B-26287"/>
    <n v="2483"/>
    <n v="2247"/>
    <n v="236"/>
    <n v="2"/>
    <x v="0"/>
    <x v="0"/>
    <x v="4"/>
    <d v="2024-07-02T00:00:00"/>
    <s v="Renee Solomon"/>
    <x v="0"/>
    <s v="Tampa"/>
    <x v="41"/>
    <x v="2"/>
  </r>
  <r>
    <s v="B-26564"/>
    <n v="1297"/>
    <n v="697"/>
    <n v="600"/>
    <n v="7"/>
    <x v="1"/>
    <x v="9"/>
    <x v="3"/>
    <d v="2024-02-16T00:00:00"/>
    <s v="Daryl Miles"/>
    <x v="0"/>
    <s v="Orlando"/>
    <x v="42"/>
    <x v="7"/>
  </r>
  <r>
    <s v="B-26564"/>
    <n v="7909"/>
    <n v="5967"/>
    <n v="1942"/>
    <n v="19"/>
    <x v="0"/>
    <x v="10"/>
    <x v="4"/>
    <d v="2024-02-16T00:00:00"/>
    <s v="Daryl Miles"/>
    <x v="0"/>
    <s v="Orlando"/>
    <x v="42"/>
    <x v="7"/>
  </r>
  <r>
    <s v="B-26293"/>
    <n v="9768"/>
    <n v="5250"/>
    <n v="4518"/>
    <n v="8"/>
    <x v="2"/>
    <x v="4"/>
    <x v="3"/>
    <d v="2021-11-26T00:00:00"/>
    <s v="Michael Hunt"/>
    <x v="4"/>
    <s v="Dallas"/>
    <x v="35"/>
    <x v="5"/>
  </r>
  <r>
    <s v="B-26293"/>
    <n v="4968"/>
    <n v="4034"/>
    <n v="934"/>
    <n v="5"/>
    <x v="2"/>
    <x v="7"/>
    <x v="1"/>
    <d v="2021-11-26T00:00:00"/>
    <s v="Michael Hunt"/>
    <x v="4"/>
    <s v="Dallas"/>
    <x v="35"/>
    <x v="5"/>
  </r>
  <r>
    <s v="B-26293"/>
    <n v="1731"/>
    <n v="1582"/>
    <n v="149"/>
    <n v="4"/>
    <x v="0"/>
    <x v="3"/>
    <x v="2"/>
    <d v="2021-11-26T00:00:00"/>
    <s v="Michael Hunt"/>
    <x v="4"/>
    <s v="Dallas"/>
    <x v="35"/>
    <x v="5"/>
  </r>
  <r>
    <s v="B-25915"/>
    <n v="3433"/>
    <n v="2264"/>
    <n v="1169"/>
    <n v="10"/>
    <x v="1"/>
    <x v="9"/>
    <x v="4"/>
    <d v="2024-02-01T00:00:00"/>
    <s v="Adam Clark"/>
    <x v="3"/>
    <s v="San Francisco"/>
    <x v="42"/>
    <x v="7"/>
  </r>
  <r>
    <s v="B-25915"/>
    <n v="3433"/>
    <n v="2264"/>
    <n v="1169"/>
    <n v="10"/>
    <x v="1"/>
    <x v="9"/>
    <x v="4"/>
    <d v="2021-09-09T00:00:00"/>
    <s v="Amy Olsen"/>
    <x v="1"/>
    <s v="Springfield"/>
    <x v="43"/>
    <x v="10"/>
  </r>
  <r>
    <s v="B-25915"/>
    <n v="3433"/>
    <n v="2264"/>
    <n v="1169"/>
    <n v="10"/>
    <x v="1"/>
    <x v="9"/>
    <x v="4"/>
    <d v="2021-09-08T00:00:00"/>
    <s v="Stacey Miller"/>
    <x v="3"/>
    <s v="San Diego"/>
    <x v="43"/>
    <x v="10"/>
  </r>
  <r>
    <s v="B-25915"/>
    <n v="3887"/>
    <n v="2397"/>
    <n v="1490"/>
    <n v="1"/>
    <x v="1"/>
    <x v="9"/>
    <x v="1"/>
    <d v="2024-02-01T00:00:00"/>
    <s v="Adam Clark"/>
    <x v="3"/>
    <s v="San Francisco"/>
    <x v="42"/>
    <x v="7"/>
  </r>
  <r>
    <s v="B-25915"/>
    <n v="3887"/>
    <n v="2397"/>
    <n v="1490"/>
    <n v="1"/>
    <x v="1"/>
    <x v="9"/>
    <x v="1"/>
    <d v="2021-09-09T00:00:00"/>
    <s v="Amy Olsen"/>
    <x v="1"/>
    <s v="Springfield"/>
    <x v="43"/>
    <x v="10"/>
  </r>
  <r>
    <s v="B-25915"/>
    <n v="3887"/>
    <n v="2397"/>
    <n v="1490"/>
    <n v="1"/>
    <x v="1"/>
    <x v="9"/>
    <x v="1"/>
    <d v="2021-09-08T00:00:00"/>
    <s v="Stacey Miller"/>
    <x v="3"/>
    <s v="San Diego"/>
    <x v="43"/>
    <x v="10"/>
  </r>
  <r>
    <s v="B-26496"/>
    <n v="1801"/>
    <n v="1160"/>
    <n v="641"/>
    <n v="20"/>
    <x v="1"/>
    <x v="6"/>
    <x v="3"/>
    <d v="2024-07-09T00:00:00"/>
    <s v="Daniel Mosley"/>
    <x v="3"/>
    <s v="Los Angeles"/>
    <x v="41"/>
    <x v="2"/>
  </r>
  <r>
    <s v="B-26496"/>
    <n v="5301"/>
    <n v="4484"/>
    <n v="817"/>
    <n v="10"/>
    <x v="2"/>
    <x v="4"/>
    <x v="1"/>
    <d v="2024-07-09T00:00:00"/>
    <s v="Daniel Mosley"/>
    <x v="3"/>
    <s v="Los Angeles"/>
    <x v="41"/>
    <x v="2"/>
  </r>
  <r>
    <s v="B-26496"/>
    <n v="1166"/>
    <n v="646"/>
    <n v="520"/>
    <n v="12"/>
    <x v="1"/>
    <x v="8"/>
    <x v="1"/>
    <d v="2024-07-09T00:00:00"/>
    <s v="Daniel Mosley"/>
    <x v="3"/>
    <s v="Los Angeles"/>
    <x v="41"/>
    <x v="2"/>
  </r>
  <r>
    <s v="B-26496"/>
    <n v="3196"/>
    <n v="1785"/>
    <n v="1411"/>
    <n v="15"/>
    <x v="1"/>
    <x v="8"/>
    <x v="1"/>
    <d v="2024-07-09T00:00:00"/>
    <s v="Daniel Mosley"/>
    <x v="3"/>
    <s v="Los Angeles"/>
    <x v="41"/>
    <x v="2"/>
  </r>
  <r>
    <s v="B-25856"/>
    <n v="3428"/>
    <n v="3078"/>
    <n v="350"/>
    <n v="1"/>
    <x v="2"/>
    <x v="5"/>
    <x v="3"/>
    <d v="2023-02-28T00:00:00"/>
    <s v="Monica Gibson"/>
    <x v="1"/>
    <s v="Springfield"/>
    <x v="14"/>
    <x v="7"/>
  </r>
  <r>
    <s v="B-25856"/>
    <n v="7223"/>
    <n v="4790"/>
    <n v="2433"/>
    <n v="12"/>
    <x v="1"/>
    <x v="9"/>
    <x v="3"/>
    <d v="2023-02-28T00:00:00"/>
    <s v="Monica Gibson"/>
    <x v="1"/>
    <s v="Springfield"/>
    <x v="14"/>
    <x v="7"/>
  </r>
  <r>
    <s v="B-25856"/>
    <n v="3731"/>
    <n v="3084"/>
    <n v="647"/>
    <n v="1"/>
    <x v="1"/>
    <x v="2"/>
    <x v="3"/>
    <d v="2023-02-28T00:00:00"/>
    <s v="Monica Gibson"/>
    <x v="1"/>
    <s v="Springfield"/>
    <x v="14"/>
    <x v="7"/>
  </r>
  <r>
    <s v="B-26899"/>
    <n v="8903"/>
    <n v="4502"/>
    <n v="4401"/>
    <n v="18"/>
    <x v="1"/>
    <x v="2"/>
    <x v="3"/>
    <d v="2022-08-08T00:00:00"/>
    <s v="Christopher Jordan"/>
    <x v="5"/>
    <s v="Columbus"/>
    <x v="40"/>
    <x v="9"/>
  </r>
  <r>
    <s v="B-25916"/>
    <n v="6009"/>
    <n v="3902"/>
    <n v="2107"/>
    <n v="7"/>
    <x v="0"/>
    <x v="10"/>
    <x v="0"/>
    <d v="2022-12-07T00:00:00"/>
    <s v="Christina Davis"/>
    <x v="1"/>
    <s v="Chicago"/>
    <x v="29"/>
    <x v="1"/>
  </r>
  <r>
    <s v="B-25916"/>
    <n v="6009"/>
    <n v="3902"/>
    <n v="2107"/>
    <n v="7"/>
    <x v="0"/>
    <x v="10"/>
    <x v="0"/>
    <d v="2024-04-29T00:00:00"/>
    <s v="Claudia Curry"/>
    <x v="4"/>
    <s v="Austin"/>
    <x v="44"/>
    <x v="11"/>
  </r>
  <r>
    <s v="B-25916"/>
    <n v="2858"/>
    <n v="2628"/>
    <n v="230"/>
    <n v="3"/>
    <x v="2"/>
    <x v="4"/>
    <x v="3"/>
    <d v="2022-12-07T00:00:00"/>
    <s v="Christina Davis"/>
    <x v="1"/>
    <s v="Chicago"/>
    <x v="29"/>
    <x v="1"/>
  </r>
  <r>
    <s v="B-25916"/>
    <n v="2858"/>
    <n v="2628"/>
    <n v="230"/>
    <n v="3"/>
    <x v="2"/>
    <x v="4"/>
    <x v="3"/>
    <d v="2024-04-29T00:00:00"/>
    <s v="Claudia Curry"/>
    <x v="4"/>
    <s v="Austin"/>
    <x v="44"/>
    <x v="11"/>
  </r>
  <r>
    <s v="B-25916"/>
    <n v="8175"/>
    <n v="7650"/>
    <n v="525"/>
    <n v="7"/>
    <x v="2"/>
    <x v="7"/>
    <x v="3"/>
    <d v="2022-12-07T00:00:00"/>
    <s v="Christina Davis"/>
    <x v="1"/>
    <s v="Chicago"/>
    <x v="29"/>
    <x v="1"/>
  </r>
  <r>
    <s v="B-25916"/>
    <n v="8175"/>
    <n v="7650"/>
    <n v="525"/>
    <n v="7"/>
    <x v="2"/>
    <x v="7"/>
    <x v="3"/>
    <d v="2024-04-29T00:00:00"/>
    <s v="Claudia Curry"/>
    <x v="4"/>
    <s v="Austin"/>
    <x v="44"/>
    <x v="11"/>
  </r>
  <r>
    <s v="B-25916"/>
    <n v="5846"/>
    <n v="5260"/>
    <n v="586"/>
    <n v="18"/>
    <x v="2"/>
    <x v="7"/>
    <x v="0"/>
    <d v="2022-12-07T00:00:00"/>
    <s v="Christina Davis"/>
    <x v="1"/>
    <s v="Chicago"/>
    <x v="29"/>
    <x v="1"/>
  </r>
  <r>
    <s v="B-25916"/>
    <n v="5846"/>
    <n v="5260"/>
    <n v="586"/>
    <n v="18"/>
    <x v="2"/>
    <x v="7"/>
    <x v="0"/>
    <d v="2024-04-29T00:00:00"/>
    <s v="Claudia Curry"/>
    <x v="4"/>
    <s v="Austin"/>
    <x v="44"/>
    <x v="11"/>
  </r>
  <r>
    <s v="B-26428"/>
    <n v="706"/>
    <n v="509"/>
    <n v="197"/>
    <n v="11"/>
    <x v="0"/>
    <x v="3"/>
    <x v="3"/>
    <d v="2022-01-02T00:00:00"/>
    <s v="Brandon Anderson"/>
    <x v="4"/>
    <s v="Austin"/>
    <x v="12"/>
    <x v="8"/>
  </r>
  <r>
    <s v="B-26332"/>
    <n v="9835"/>
    <n v="7264"/>
    <n v="2571"/>
    <n v="16"/>
    <x v="2"/>
    <x v="4"/>
    <x v="4"/>
    <d v="2022-06-10T00:00:00"/>
    <s v="George Foster"/>
    <x v="4"/>
    <s v="Dallas"/>
    <x v="33"/>
    <x v="0"/>
  </r>
  <r>
    <s v="B-26332"/>
    <n v="9835"/>
    <n v="7264"/>
    <n v="2571"/>
    <n v="16"/>
    <x v="2"/>
    <x v="4"/>
    <x v="4"/>
    <d v="2021-11-16T00:00:00"/>
    <s v="Nicholas Anderson"/>
    <x v="0"/>
    <s v="Orlando"/>
    <x v="35"/>
    <x v="5"/>
  </r>
  <r>
    <s v="B-26332"/>
    <n v="9835"/>
    <n v="7264"/>
    <n v="2571"/>
    <n v="16"/>
    <x v="2"/>
    <x v="4"/>
    <x v="4"/>
    <d v="2022-08-17T00:00:00"/>
    <s v="Emily Ellison"/>
    <x v="3"/>
    <s v="Los Angeles"/>
    <x v="40"/>
    <x v="9"/>
  </r>
  <r>
    <s v="B-26332"/>
    <n v="9691"/>
    <n v="6635"/>
    <n v="3056"/>
    <n v="13"/>
    <x v="1"/>
    <x v="6"/>
    <x v="3"/>
    <d v="2022-06-10T00:00:00"/>
    <s v="George Foster"/>
    <x v="4"/>
    <s v="Dallas"/>
    <x v="33"/>
    <x v="0"/>
  </r>
  <r>
    <s v="B-26332"/>
    <n v="9691"/>
    <n v="6635"/>
    <n v="3056"/>
    <n v="13"/>
    <x v="1"/>
    <x v="6"/>
    <x v="3"/>
    <d v="2021-11-16T00:00:00"/>
    <s v="Nicholas Anderson"/>
    <x v="0"/>
    <s v="Orlando"/>
    <x v="35"/>
    <x v="5"/>
  </r>
  <r>
    <s v="B-26332"/>
    <n v="9691"/>
    <n v="6635"/>
    <n v="3056"/>
    <n v="13"/>
    <x v="1"/>
    <x v="6"/>
    <x v="3"/>
    <d v="2022-08-17T00:00:00"/>
    <s v="Emily Ellison"/>
    <x v="3"/>
    <s v="Los Angeles"/>
    <x v="40"/>
    <x v="9"/>
  </r>
  <r>
    <s v="B-26332"/>
    <n v="7826"/>
    <n v="6605"/>
    <n v="1221"/>
    <n v="14"/>
    <x v="2"/>
    <x v="11"/>
    <x v="0"/>
    <d v="2022-06-10T00:00:00"/>
    <s v="George Foster"/>
    <x v="4"/>
    <s v="Dallas"/>
    <x v="33"/>
    <x v="0"/>
  </r>
  <r>
    <s v="B-26332"/>
    <n v="7826"/>
    <n v="6605"/>
    <n v="1221"/>
    <n v="14"/>
    <x v="2"/>
    <x v="11"/>
    <x v="0"/>
    <d v="2021-11-16T00:00:00"/>
    <s v="Nicholas Anderson"/>
    <x v="0"/>
    <s v="Orlando"/>
    <x v="35"/>
    <x v="5"/>
  </r>
  <r>
    <s v="B-26332"/>
    <n v="7826"/>
    <n v="6605"/>
    <n v="1221"/>
    <n v="14"/>
    <x v="2"/>
    <x v="11"/>
    <x v="0"/>
    <d v="2022-08-17T00:00:00"/>
    <s v="Emily Ellison"/>
    <x v="3"/>
    <s v="Los Angeles"/>
    <x v="40"/>
    <x v="9"/>
  </r>
  <r>
    <s v="B-25303"/>
    <n v="770"/>
    <n v="529"/>
    <n v="241"/>
    <n v="11"/>
    <x v="2"/>
    <x v="7"/>
    <x v="4"/>
    <d v="2021-11-23T00:00:00"/>
    <s v="Darren Perez"/>
    <x v="4"/>
    <s v="Austin"/>
    <x v="35"/>
    <x v="5"/>
  </r>
  <r>
    <s v="B-25303"/>
    <n v="770"/>
    <n v="529"/>
    <n v="241"/>
    <n v="11"/>
    <x v="2"/>
    <x v="7"/>
    <x v="4"/>
    <d v="2023-03-04T00:00:00"/>
    <s v="Michelle Hunter"/>
    <x v="5"/>
    <s v="Cincinnati"/>
    <x v="45"/>
    <x v="6"/>
  </r>
  <r>
    <s v="B-26507"/>
    <n v="9895"/>
    <n v="8297"/>
    <n v="1598"/>
    <n v="20"/>
    <x v="2"/>
    <x v="11"/>
    <x v="4"/>
    <d v="2023-12-16T00:00:00"/>
    <s v="Janet Guerrero"/>
    <x v="2"/>
    <s v="Rochester"/>
    <x v="16"/>
    <x v="1"/>
  </r>
  <r>
    <s v="B-25983"/>
    <n v="6517"/>
    <n v="4936"/>
    <n v="1581"/>
    <n v="10"/>
    <x v="1"/>
    <x v="8"/>
    <x v="1"/>
    <d v="2024-05-19T00:00:00"/>
    <s v="Jeffrey Kline"/>
    <x v="0"/>
    <s v="Miami"/>
    <x v="3"/>
    <x v="3"/>
  </r>
  <r>
    <s v="B-25983"/>
    <n v="6517"/>
    <n v="4936"/>
    <n v="1581"/>
    <n v="10"/>
    <x v="1"/>
    <x v="8"/>
    <x v="1"/>
    <d v="2020-05-14T00:00:00"/>
    <s v="Ryan Bullock"/>
    <x v="0"/>
    <s v="Tampa"/>
    <x v="8"/>
    <x v="3"/>
  </r>
  <r>
    <s v="B-25983"/>
    <n v="1166"/>
    <n v="817"/>
    <n v="349"/>
    <n v="11"/>
    <x v="2"/>
    <x v="4"/>
    <x v="3"/>
    <d v="2024-05-19T00:00:00"/>
    <s v="Jeffrey Kline"/>
    <x v="0"/>
    <s v="Miami"/>
    <x v="3"/>
    <x v="3"/>
  </r>
  <r>
    <s v="B-25983"/>
    <n v="1166"/>
    <n v="817"/>
    <n v="349"/>
    <n v="11"/>
    <x v="2"/>
    <x v="4"/>
    <x v="3"/>
    <d v="2020-05-14T00:00:00"/>
    <s v="Ryan Bullock"/>
    <x v="0"/>
    <s v="Tampa"/>
    <x v="8"/>
    <x v="3"/>
  </r>
  <r>
    <s v="B-25156"/>
    <n v="9820"/>
    <n v="9027"/>
    <n v="793"/>
    <n v="16"/>
    <x v="2"/>
    <x v="5"/>
    <x v="3"/>
    <d v="2021-08-29T00:00:00"/>
    <s v="Tom Lawson"/>
    <x v="2"/>
    <s v="Buffalo"/>
    <x v="36"/>
    <x v="9"/>
  </r>
  <r>
    <s v="B-26759"/>
    <n v="8563"/>
    <n v="5939"/>
    <n v="2624"/>
    <n v="8"/>
    <x v="1"/>
    <x v="9"/>
    <x v="4"/>
    <d v="2024-11-10T00:00:00"/>
    <s v="Rebecca Smith"/>
    <x v="4"/>
    <s v="Dallas"/>
    <x v="46"/>
    <x v="5"/>
  </r>
  <r>
    <s v="B-26759"/>
    <n v="4441"/>
    <n v="4160"/>
    <n v="281"/>
    <n v="20"/>
    <x v="0"/>
    <x v="1"/>
    <x v="4"/>
    <d v="2024-11-10T00:00:00"/>
    <s v="Rebecca Smith"/>
    <x v="4"/>
    <s v="Dallas"/>
    <x v="46"/>
    <x v="5"/>
  </r>
  <r>
    <s v="B-26244"/>
    <n v="7340"/>
    <n v="5069"/>
    <n v="2271"/>
    <n v="8"/>
    <x v="1"/>
    <x v="8"/>
    <x v="2"/>
    <d v="2021-12-05T00:00:00"/>
    <s v="William Welch"/>
    <x v="0"/>
    <s v="Orlando"/>
    <x v="13"/>
    <x v="1"/>
  </r>
  <r>
    <s v="B-26244"/>
    <n v="5442"/>
    <n v="3832"/>
    <n v="1610"/>
    <n v="1"/>
    <x v="0"/>
    <x v="10"/>
    <x v="2"/>
    <d v="2021-12-05T00:00:00"/>
    <s v="William Welch"/>
    <x v="0"/>
    <s v="Orlando"/>
    <x v="13"/>
    <x v="1"/>
  </r>
  <r>
    <s v="B-26365"/>
    <n v="1895"/>
    <n v="1504"/>
    <n v="391"/>
    <n v="14"/>
    <x v="2"/>
    <x v="4"/>
    <x v="0"/>
    <d v="2024-07-05T00:00:00"/>
    <s v="Mr. Curtis Bailey"/>
    <x v="0"/>
    <s v="Tampa"/>
    <x v="41"/>
    <x v="2"/>
  </r>
  <r>
    <s v="B-26365"/>
    <n v="5323"/>
    <n v="5001"/>
    <n v="322"/>
    <n v="13"/>
    <x v="1"/>
    <x v="9"/>
    <x v="4"/>
    <d v="2024-07-05T00:00:00"/>
    <s v="Mr. Curtis Bailey"/>
    <x v="0"/>
    <s v="Tampa"/>
    <x v="41"/>
    <x v="2"/>
  </r>
  <r>
    <s v="B-26212"/>
    <n v="8850"/>
    <n v="8571"/>
    <n v="279"/>
    <n v="13"/>
    <x v="1"/>
    <x v="6"/>
    <x v="1"/>
    <d v="2024-06-25T00:00:00"/>
    <s v="Janet Carlson"/>
    <x v="0"/>
    <s v="Miami"/>
    <x v="47"/>
    <x v="0"/>
  </r>
  <r>
    <s v="B-26212"/>
    <n v="8667"/>
    <n v="7401"/>
    <n v="1266"/>
    <n v="6"/>
    <x v="1"/>
    <x v="8"/>
    <x v="1"/>
    <d v="2024-06-25T00:00:00"/>
    <s v="Janet Carlson"/>
    <x v="0"/>
    <s v="Miami"/>
    <x v="47"/>
    <x v="0"/>
  </r>
  <r>
    <s v="B-25042"/>
    <n v="6903"/>
    <n v="6798"/>
    <n v="105"/>
    <n v="1"/>
    <x v="2"/>
    <x v="4"/>
    <x v="4"/>
    <d v="2024-05-31T00:00:00"/>
    <s v="Spencer Spears"/>
    <x v="1"/>
    <s v="Chicago"/>
    <x v="3"/>
    <x v="3"/>
  </r>
  <r>
    <s v="B-25042"/>
    <n v="8793"/>
    <n v="5783"/>
    <n v="3010"/>
    <n v="7"/>
    <x v="1"/>
    <x v="2"/>
    <x v="4"/>
    <d v="2024-05-31T00:00:00"/>
    <s v="Spencer Spears"/>
    <x v="1"/>
    <s v="Chicago"/>
    <x v="3"/>
    <x v="3"/>
  </r>
  <r>
    <s v="B-25901"/>
    <n v="9883"/>
    <n v="5071"/>
    <n v="4812"/>
    <n v="16"/>
    <x v="1"/>
    <x v="8"/>
    <x v="0"/>
    <d v="2020-10-20T00:00:00"/>
    <s v="Jeffrey Middleton"/>
    <x v="2"/>
    <s v="Buffalo"/>
    <x v="20"/>
    <x v="4"/>
  </r>
  <r>
    <s v="B-25901"/>
    <n v="9883"/>
    <n v="5071"/>
    <n v="4812"/>
    <n v="16"/>
    <x v="1"/>
    <x v="8"/>
    <x v="0"/>
    <d v="2022-08-11T00:00:00"/>
    <s v="Veronica Kelley"/>
    <x v="0"/>
    <s v="Orlando"/>
    <x v="40"/>
    <x v="9"/>
  </r>
  <r>
    <s v="B-25901"/>
    <n v="9883"/>
    <n v="5071"/>
    <n v="4812"/>
    <n v="16"/>
    <x v="1"/>
    <x v="8"/>
    <x v="0"/>
    <d v="2021-10-17T00:00:00"/>
    <s v="Leslie Bean"/>
    <x v="1"/>
    <s v="Springfield"/>
    <x v="4"/>
    <x v="4"/>
  </r>
  <r>
    <s v="B-25901"/>
    <n v="5210"/>
    <n v="4025"/>
    <n v="1185"/>
    <n v="7"/>
    <x v="1"/>
    <x v="8"/>
    <x v="0"/>
    <d v="2020-10-20T00:00:00"/>
    <s v="Jeffrey Middleton"/>
    <x v="2"/>
    <s v="Buffalo"/>
    <x v="20"/>
    <x v="4"/>
  </r>
  <r>
    <s v="B-25901"/>
    <n v="5210"/>
    <n v="4025"/>
    <n v="1185"/>
    <n v="7"/>
    <x v="1"/>
    <x v="8"/>
    <x v="0"/>
    <d v="2022-08-11T00:00:00"/>
    <s v="Veronica Kelley"/>
    <x v="0"/>
    <s v="Orlando"/>
    <x v="40"/>
    <x v="9"/>
  </r>
  <r>
    <s v="B-25901"/>
    <n v="5210"/>
    <n v="4025"/>
    <n v="1185"/>
    <n v="7"/>
    <x v="1"/>
    <x v="8"/>
    <x v="0"/>
    <d v="2021-10-17T00:00:00"/>
    <s v="Leslie Bean"/>
    <x v="1"/>
    <s v="Springfield"/>
    <x v="4"/>
    <x v="4"/>
  </r>
  <r>
    <s v="B-26747"/>
    <n v="3574"/>
    <n v="2723"/>
    <n v="851"/>
    <n v="4"/>
    <x v="0"/>
    <x v="1"/>
    <x v="3"/>
    <d v="2022-02-23T00:00:00"/>
    <s v="Amy Wilson"/>
    <x v="3"/>
    <s v="Los Angeles"/>
    <x v="26"/>
    <x v="7"/>
  </r>
  <r>
    <s v="B-26747"/>
    <n v="576"/>
    <n v="500"/>
    <n v="76"/>
    <n v="13"/>
    <x v="2"/>
    <x v="7"/>
    <x v="0"/>
    <d v="2022-02-23T00:00:00"/>
    <s v="Amy Wilson"/>
    <x v="3"/>
    <s v="Los Angeles"/>
    <x v="26"/>
    <x v="7"/>
  </r>
  <r>
    <s v="B-26698"/>
    <n v="1860"/>
    <n v="1403"/>
    <n v="457"/>
    <n v="13"/>
    <x v="0"/>
    <x v="1"/>
    <x v="2"/>
    <d v="2023-09-20T00:00:00"/>
    <s v="Susan Ramirez"/>
    <x v="5"/>
    <s v="Cleveland"/>
    <x v="48"/>
    <x v="10"/>
  </r>
  <r>
    <s v="B-25841"/>
    <n v="782"/>
    <n v="408"/>
    <n v="374"/>
    <n v="8"/>
    <x v="1"/>
    <x v="2"/>
    <x v="2"/>
    <d v="2021-01-19T00:00:00"/>
    <s v="Jacob Meyer"/>
    <x v="1"/>
    <s v="Peoria"/>
    <x v="49"/>
    <x v="8"/>
  </r>
  <r>
    <s v="B-25841"/>
    <n v="4371"/>
    <n v="2519"/>
    <n v="1852"/>
    <n v="1"/>
    <x v="0"/>
    <x v="3"/>
    <x v="0"/>
    <d v="2021-01-19T00:00:00"/>
    <s v="Jacob Meyer"/>
    <x v="1"/>
    <s v="Peoria"/>
    <x v="49"/>
    <x v="8"/>
  </r>
  <r>
    <s v="B-26032"/>
    <n v="8346"/>
    <n v="7170"/>
    <n v="1176"/>
    <n v="1"/>
    <x v="0"/>
    <x v="10"/>
    <x v="4"/>
    <d v="2020-08-21T00:00:00"/>
    <s v="Scott Lewis"/>
    <x v="4"/>
    <s v="Houston"/>
    <x v="38"/>
    <x v="9"/>
  </r>
  <r>
    <s v="B-26032"/>
    <n v="8346"/>
    <n v="7170"/>
    <n v="1176"/>
    <n v="1"/>
    <x v="0"/>
    <x v="10"/>
    <x v="4"/>
    <d v="2023-04-17T00:00:00"/>
    <s v="Eric Griffith"/>
    <x v="1"/>
    <s v="Chicago"/>
    <x v="28"/>
    <x v="11"/>
  </r>
  <r>
    <s v="B-26032"/>
    <n v="8346"/>
    <n v="7170"/>
    <n v="1176"/>
    <n v="1"/>
    <x v="0"/>
    <x v="10"/>
    <x v="4"/>
    <d v="2023-12-24T00:00:00"/>
    <s v="Anna Ferguson"/>
    <x v="3"/>
    <s v="San Francisco"/>
    <x v="16"/>
    <x v="1"/>
  </r>
  <r>
    <s v="B-26032"/>
    <n v="6218"/>
    <n v="5093"/>
    <n v="1125"/>
    <n v="5"/>
    <x v="2"/>
    <x v="4"/>
    <x v="1"/>
    <d v="2020-08-21T00:00:00"/>
    <s v="Scott Lewis"/>
    <x v="4"/>
    <s v="Houston"/>
    <x v="38"/>
    <x v="9"/>
  </r>
  <r>
    <s v="B-26032"/>
    <n v="6218"/>
    <n v="5093"/>
    <n v="1125"/>
    <n v="5"/>
    <x v="2"/>
    <x v="4"/>
    <x v="1"/>
    <d v="2023-04-17T00:00:00"/>
    <s v="Eric Griffith"/>
    <x v="1"/>
    <s v="Chicago"/>
    <x v="28"/>
    <x v="11"/>
  </r>
  <r>
    <s v="B-26032"/>
    <n v="6218"/>
    <n v="5093"/>
    <n v="1125"/>
    <n v="5"/>
    <x v="2"/>
    <x v="4"/>
    <x v="1"/>
    <d v="2023-12-24T00:00:00"/>
    <s v="Anna Ferguson"/>
    <x v="3"/>
    <s v="San Francisco"/>
    <x v="16"/>
    <x v="1"/>
  </r>
  <r>
    <s v="B-26032"/>
    <n v="5167"/>
    <n v="4914"/>
    <n v="253"/>
    <n v="14"/>
    <x v="0"/>
    <x v="1"/>
    <x v="3"/>
    <d v="2020-08-21T00:00:00"/>
    <s v="Scott Lewis"/>
    <x v="4"/>
    <s v="Houston"/>
    <x v="38"/>
    <x v="9"/>
  </r>
  <r>
    <s v="B-26032"/>
    <n v="5167"/>
    <n v="4914"/>
    <n v="253"/>
    <n v="14"/>
    <x v="0"/>
    <x v="1"/>
    <x v="3"/>
    <d v="2023-04-17T00:00:00"/>
    <s v="Eric Griffith"/>
    <x v="1"/>
    <s v="Chicago"/>
    <x v="28"/>
    <x v="11"/>
  </r>
  <r>
    <s v="B-26032"/>
    <n v="5167"/>
    <n v="4914"/>
    <n v="253"/>
    <n v="14"/>
    <x v="0"/>
    <x v="1"/>
    <x v="3"/>
    <d v="2023-12-24T00:00:00"/>
    <s v="Anna Ferguson"/>
    <x v="3"/>
    <s v="San Francisco"/>
    <x v="16"/>
    <x v="1"/>
  </r>
  <r>
    <s v="B-26032"/>
    <n v="2799"/>
    <n v="1560"/>
    <n v="1239"/>
    <n v="5"/>
    <x v="2"/>
    <x v="7"/>
    <x v="1"/>
    <d v="2020-08-21T00:00:00"/>
    <s v="Scott Lewis"/>
    <x v="4"/>
    <s v="Houston"/>
    <x v="38"/>
    <x v="9"/>
  </r>
  <r>
    <s v="B-26032"/>
    <n v="2799"/>
    <n v="1560"/>
    <n v="1239"/>
    <n v="5"/>
    <x v="2"/>
    <x v="7"/>
    <x v="1"/>
    <d v="2023-04-17T00:00:00"/>
    <s v="Eric Griffith"/>
    <x v="1"/>
    <s v="Chicago"/>
    <x v="28"/>
    <x v="11"/>
  </r>
  <r>
    <s v="B-26032"/>
    <n v="2799"/>
    <n v="1560"/>
    <n v="1239"/>
    <n v="5"/>
    <x v="2"/>
    <x v="7"/>
    <x v="1"/>
    <d v="2023-12-24T00:00:00"/>
    <s v="Anna Ferguson"/>
    <x v="3"/>
    <s v="San Francisco"/>
    <x v="16"/>
    <x v="1"/>
  </r>
  <r>
    <s v="B-25171"/>
    <n v="3234"/>
    <n v="2205"/>
    <n v="1029"/>
    <n v="20"/>
    <x v="1"/>
    <x v="6"/>
    <x v="3"/>
    <d v="2022-03-20T00:00:00"/>
    <s v="David Figueroa"/>
    <x v="0"/>
    <s v="Miami"/>
    <x v="25"/>
    <x v="6"/>
  </r>
  <r>
    <s v="B-26939"/>
    <n v="4920"/>
    <n v="4145"/>
    <n v="775"/>
    <n v="12"/>
    <x v="2"/>
    <x v="4"/>
    <x v="1"/>
    <d v="2021-08-12T00:00:00"/>
    <s v="Theresa Medina"/>
    <x v="1"/>
    <s v="Springfield"/>
    <x v="36"/>
    <x v="9"/>
  </r>
  <r>
    <s v="B-26939"/>
    <n v="9078"/>
    <n v="6865"/>
    <n v="2213"/>
    <n v="15"/>
    <x v="2"/>
    <x v="11"/>
    <x v="2"/>
    <d v="2021-08-12T00:00:00"/>
    <s v="Theresa Medina"/>
    <x v="1"/>
    <s v="Springfield"/>
    <x v="36"/>
    <x v="9"/>
  </r>
  <r>
    <s v="B-26347"/>
    <n v="8586"/>
    <n v="4760"/>
    <n v="3826"/>
    <n v="7"/>
    <x v="2"/>
    <x v="11"/>
    <x v="0"/>
    <d v="2020-12-21T00:00:00"/>
    <s v="Mary Smith"/>
    <x v="0"/>
    <s v="Miami"/>
    <x v="50"/>
    <x v="1"/>
  </r>
  <r>
    <s v="B-26347"/>
    <n v="8586"/>
    <n v="4760"/>
    <n v="3826"/>
    <n v="7"/>
    <x v="2"/>
    <x v="11"/>
    <x v="0"/>
    <d v="2023-07-07T00:00:00"/>
    <s v="Lance Cain"/>
    <x v="0"/>
    <s v="Tampa"/>
    <x v="17"/>
    <x v="2"/>
  </r>
  <r>
    <s v="B-25388"/>
    <n v="5047"/>
    <n v="2836"/>
    <n v="2211"/>
    <n v="13"/>
    <x v="2"/>
    <x v="7"/>
    <x v="2"/>
    <d v="2023-08-13T00:00:00"/>
    <s v="Alexandra Moran"/>
    <x v="3"/>
    <s v="San Francisco"/>
    <x v="21"/>
    <x v="9"/>
  </r>
  <r>
    <s v="B-25388"/>
    <n v="5047"/>
    <n v="2836"/>
    <n v="2211"/>
    <n v="13"/>
    <x v="2"/>
    <x v="7"/>
    <x v="2"/>
    <d v="2021-02-04T00:00:00"/>
    <s v="Sara Castro"/>
    <x v="1"/>
    <s v="Chicago"/>
    <x v="51"/>
    <x v="7"/>
  </r>
  <r>
    <s v="B-25388"/>
    <n v="5047"/>
    <n v="2836"/>
    <n v="2211"/>
    <n v="13"/>
    <x v="2"/>
    <x v="7"/>
    <x v="2"/>
    <d v="2022-09-16T00:00:00"/>
    <s v="Shawn Leach"/>
    <x v="1"/>
    <s v="Peoria"/>
    <x v="24"/>
    <x v="10"/>
  </r>
  <r>
    <s v="B-25388"/>
    <n v="5047"/>
    <n v="2836"/>
    <n v="2211"/>
    <n v="13"/>
    <x v="2"/>
    <x v="7"/>
    <x v="2"/>
    <d v="2022-05-06T00:00:00"/>
    <s v="Mark Boyle"/>
    <x v="2"/>
    <s v="Buffalo"/>
    <x v="37"/>
    <x v="3"/>
  </r>
  <r>
    <s v="B-26419"/>
    <n v="3657"/>
    <n v="3494"/>
    <n v="163"/>
    <n v="1"/>
    <x v="2"/>
    <x v="7"/>
    <x v="0"/>
    <d v="2021-05-28T00:00:00"/>
    <s v="John Stevens"/>
    <x v="3"/>
    <s v="San Francisco"/>
    <x v="18"/>
    <x v="3"/>
  </r>
  <r>
    <s v="B-25157"/>
    <n v="6471"/>
    <n v="3629"/>
    <n v="2842"/>
    <n v="18"/>
    <x v="0"/>
    <x v="0"/>
    <x v="0"/>
    <d v="2024-07-18T00:00:00"/>
    <s v="Lisa Graham"/>
    <x v="1"/>
    <s v="Peoria"/>
    <x v="41"/>
    <x v="2"/>
  </r>
  <r>
    <s v="B-25342"/>
    <n v="949"/>
    <n v="648"/>
    <n v="301"/>
    <n v="9"/>
    <x v="1"/>
    <x v="9"/>
    <x v="0"/>
    <d v="2024-12-06T00:00:00"/>
    <s v="Nancy Jones"/>
    <x v="5"/>
    <s v="Cleveland"/>
    <x v="1"/>
    <x v="1"/>
  </r>
  <r>
    <s v="B-25342"/>
    <n v="6823"/>
    <n v="6052"/>
    <n v="771"/>
    <n v="6"/>
    <x v="1"/>
    <x v="9"/>
    <x v="2"/>
    <d v="2024-12-06T00:00:00"/>
    <s v="Nancy Jones"/>
    <x v="5"/>
    <s v="Cleveland"/>
    <x v="1"/>
    <x v="1"/>
  </r>
  <r>
    <s v="B-25342"/>
    <n v="4364"/>
    <n v="3533"/>
    <n v="831"/>
    <n v="2"/>
    <x v="2"/>
    <x v="4"/>
    <x v="2"/>
    <d v="2024-12-06T00:00:00"/>
    <s v="Nancy Jones"/>
    <x v="5"/>
    <s v="Cleveland"/>
    <x v="1"/>
    <x v="1"/>
  </r>
  <r>
    <s v="B-26165"/>
    <n v="6671"/>
    <n v="3874"/>
    <n v="2797"/>
    <n v="10"/>
    <x v="0"/>
    <x v="10"/>
    <x v="0"/>
    <d v="2022-12-12T00:00:00"/>
    <s v="Darryl Robbins"/>
    <x v="1"/>
    <s v="Peoria"/>
    <x v="29"/>
    <x v="1"/>
  </r>
  <r>
    <s v="B-26571"/>
    <n v="7472"/>
    <n v="6435"/>
    <n v="1037"/>
    <n v="3"/>
    <x v="1"/>
    <x v="8"/>
    <x v="4"/>
    <d v="2022-10-20T00:00:00"/>
    <s v="Kimberly Smith"/>
    <x v="1"/>
    <s v="Springfield"/>
    <x v="15"/>
    <x v="4"/>
  </r>
  <r>
    <s v="B-26571"/>
    <n v="9548"/>
    <n v="7742"/>
    <n v="1806"/>
    <n v="9"/>
    <x v="0"/>
    <x v="1"/>
    <x v="4"/>
    <d v="2022-10-20T00:00:00"/>
    <s v="Kimberly Smith"/>
    <x v="1"/>
    <s v="Springfield"/>
    <x v="15"/>
    <x v="4"/>
  </r>
  <r>
    <s v="B-25400"/>
    <n v="7759"/>
    <n v="4018"/>
    <n v="3741"/>
    <n v="17"/>
    <x v="0"/>
    <x v="1"/>
    <x v="0"/>
    <d v="2021-03-24T00:00:00"/>
    <s v="Maria Thomas"/>
    <x v="0"/>
    <s v="Miami"/>
    <x v="34"/>
    <x v="6"/>
  </r>
  <r>
    <s v="B-25400"/>
    <n v="7759"/>
    <n v="4018"/>
    <n v="3741"/>
    <n v="17"/>
    <x v="0"/>
    <x v="1"/>
    <x v="0"/>
    <d v="2025-01-06T00:00:00"/>
    <s v="Nicholas Johnson"/>
    <x v="4"/>
    <s v="Dallas"/>
    <x v="52"/>
    <x v="8"/>
  </r>
  <r>
    <s v="B-25400"/>
    <n v="7521"/>
    <n v="4064"/>
    <n v="3457"/>
    <n v="16"/>
    <x v="1"/>
    <x v="6"/>
    <x v="1"/>
    <d v="2021-03-24T00:00:00"/>
    <s v="Maria Thomas"/>
    <x v="0"/>
    <s v="Miami"/>
    <x v="34"/>
    <x v="6"/>
  </r>
  <r>
    <s v="B-25400"/>
    <n v="7521"/>
    <n v="4064"/>
    <n v="3457"/>
    <n v="16"/>
    <x v="1"/>
    <x v="6"/>
    <x v="1"/>
    <d v="2025-01-06T00:00:00"/>
    <s v="Nicholas Johnson"/>
    <x v="4"/>
    <s v="Dallas"/>
    <x v="52"/>
    <x v="8"/>
  </r>
  <r>
    <s v="B-25885"/>
    <n v="9704"/>
    <n v="5365"/>
    <n v="4339"/>
    <n v="12"/>
    <x v="1"/>
    <x v="2"/>
    <x v="4"/>
    <d v="2021-03-06T00:00:00"/>
    <s v="Dawn Howard"/>
    <x v="4"/>
    <s v="Houston"/>
    <x v="34"/>
    <x v="6"/>
  </r>
  <r>
    <s v="B-25885"/>
    <n v="4948"/>
    <n v="2592"/>
    <n v="2356"/>
    <n v="18"/>
    <x v="0"/>
    <x v="1"/>
    <x v="1"/>
    <d v="2021-03-06T00:00:00"/>
    <s v="Dawn Howard"/>
    <x v="4"/>
    <s v="Houston"/>
    <x v="34"/>
    <x v="6"/>
  </r>
  <r>
    <s v="B-25885"/>
    <n v="6435"/>
    <n v="6101"/>
    <n v="334"/>
    <n v="10"/>
    <x v="0"/>
    <x v="0"/>
    <x v="1"/>
    <d v="2021-03-06T00:00:00"/>
    <s v="Dawn Howard"/>
    <x v="4"/>
    <s v="Houston"/>
    <x v="34"/>
    <x v="6"/>
  </r>
  <r>
    <s v="B-25004"/>
    <n v="9965"/>
    <n v="6932"/>
    <n v="3033"/>
    <n v="16"/>
    <x v="1"/>
    <x v="6"/>
    <x v="4"/>
    <d v="2020-06-17T00:00:00"/>
    <s v="Jennifer Marshall"/>
    <x v="3"/>
    <s v="San Francisco"/>
    <x v="53"/>
    <x v="0"/>
  </r>
  <r>
    <s v="B-25004"/>
    <n v="9965"/>
    <n v="6932"/>
    <n v="3033"/>
    <n v="16"/>
    <x v="1"/>
    <x v="6"/>
    <x v="4"/>
    <d v="2023-09-01T00:00:00"/>
    <s v="Frank Garcia"/>
    <x v="2"/>
    <s v="Buffalo"/>
    <x v="48"/>
    <x v="10"/>
  </r>
  <r>
    <s v="B-26213"/>
    <n v="1523"/>
    <n v="1289"/>
    <n v="234"/>
    <n v="3"/>
    <x v="2"/>
    <x v="7"/>
    <x v="0"/>
    <d v="2023-06-08T00:00:00"/>
    <s v="Terri Madden"/>
    <x v="2"/>
    <s v="Rochester"/>
    <x v="0"/>
    <x v="0"/>
  </r>
  <r>
    <s v="B-26213"/>
    <n v="9073"/>
    <n v="8649"/>
    <n v="424"/>
    <n v="7"/>
    <x v="0"/>
    <x v="0"/>
    <x v="1"/>
    <d v="2023-06-08T00:00:00"/>
    <s v="Terri Madden"/>
    <x v="2"/>
    <s v="Rochester"/>
    <x v="0"/>
    <x v="0"/>
  </r>
  <r>
    <s v="B-25025"/>
    <n v="6447"/>
    <n v="3368"/>
    <n v="3079"/>
    <n v="20"/>
    <x v="0"/>
    <x v="3"/>
    <x v="4"/>
    <d v="2021-03-25T00:00:00"/>
    <s v="James Gutierrez"/>
    <x v="2"/>
    <s v="Rochester"/>
    <x v="34"/>
    <x v="6"/>
  </r>
  <r>
    <s v="B-25025"/>
    <n v="8947"/>
    <n v="6140"/>
    <n v="2807"/>
    <n v="6"/>
    <x v="0"/>
    <x v="0"/>
    <x v="3"/>
    <d v="2021-03-25T00:00:00"/>
    <s v="James Gutierrez"/>
    <x v="2"/>
    <s v="Rochester"/>
    <x v="34"/>
    <x v="6"/>
  </r>
  <r>
    <s v="B-26804"/>
    <n v="914"/>
    <n v="514"/>
    <n v="400"/>
    <n v="8"/>
    <x v="1"/>
    <x v="2"/>
    <x v="1"/>
    <d v="2021-01-03T00:00:00"/>
    <s v="Morgan Sellers"/>
    <x v="3"/>
    <s v="Los Angeles"/>
    <x v="49"/>
    <x v="8"/>
  </r>
  <r>
    <s v="B-26804"/>
    <n v="1548"/>
    <n v="882"/>
    <n v="666"/>
    <n v="3"/>
    <x v="1"/>
    <x v="8"/>
    <x v="3"/>
    <d v="2021-01-03T00:00:00"/>
    <s v="Morgan Sellers"/>
    <x v="3"/>
    <s v="Los Angeles"/>
    <x v="49"/>
    <x v="8"/>
  </r>
  <r>
    <s v="B-26797"/>
    <n v="2759"/>
    <n v="1610"/>
    <n v="1149"/>
    <n v="6"/>
    <x v="2"/>
    <x v="4"/>
    <x v="3"/>
    <d v="2024-12-27T00:00:00"/>
    <s v="Caitlin Thomas"/>
    <x v="2"/>
    <s v="New York City"/>
    <x v="1"/>
    <x v="1"/>
  </r>
  <r>
    <s v="B-26556"/>
    <n v="1341"/>
    <n v="726"/>
    <n v="615"/>
    <n v="4"/>
    <x v="0"/>
    <x v="3"/>
    <x v="0"/>
    <d v="2022-08-12T00:00:00"/>
    <s v="Kimberly Greene"/>
    <x v="0"/>
    <s v="Orlando"/>
    <x v="40"/>
    <x v="9"/>
  </r>
  <r>
    <s v="B-25861"/>
    <n v="9851"/>
    <n v="7182"/>
    <n v="2669"/>
    <n v="19"/>
    <x v="0"/>
    <x v="0"/>
    <x v="1"/>
    <d v="2022-03-28T00:00:00"/>
    <s v="Tammy Anthony"/>
    <x v="5"/>
    <s v="Cleveland"/>
    <x v="25"/>
    <x v="6"/>
  </r>
  <r>
    <s v="B-25861"/>
    <n v="9851"/>
    <n v="7182"/>
    <n v="2669"/>
    <n v="19"/>
    <x v="0"/>
    <x v="0"/>
    <x v="1"/>
    <d v="2023-07-15T00:00:00"/>
    <s v="Jennifer Chase"/>
    <x v="2"/>
    <s v="Buffalo"/>
    <x v="17"/>
    <x v="2"/>
  </r>
  <r>
    <s v="B-25861"/>
    <n v="9851"/>
    <n v="7182"/>
    <n v="2669"/>
    <n v="19"/>
    <x v="0"/>
    <x v="0"/>
    <x v="1"/>
    <d v="2022-09-22T00:00:00"/>
    <s v="Cassandra Farley"/>
    <x v="0"/>
    <s v="Orlando"/>
    <x v="24"/>
    <x v="10"/>
  </r>
  <r>
    <s v="B-25861"/>
    <n v="9989"/>
    <n v="6059"/>
    <n v="3930"/>
    <n v="14"/>
    <x v="2"/>
    <x v="4"/>
    <x v="1"/>
    <d v="2022-03-28T00:00:00"/>
    <s v="Tammy Anthony"/>
    <x v="5"/>
    <s v="Cleveland"/>
    <x v="25"/>
    <x v="6"/>
  </r>
  <r>
    <s v="B-25861"/>
    <n v="9989"/>
    <n v="6059"/>
    <n v="3930"/>
    <n v="14"/>
    <x v="2"/>
    <x v="4"/>
    <x v="1"/>
    <d v="2023-07-15T00:00:00"/>
    <s v="Jennifer Chase"/>
    <x v="2"/>
    <s v="Buffalo"/>
    <x v="17"/>
    <x v="2"/>
  </r>
  <r>
    <s v="B-25861"/>
    <n v="9989"/>
    <n v="6059"/>
    <n v="3930"/>
    <n v="14"/>
    <x v="2"/>
    <x v="4"/>
    <x v="1"/>
    <d v="2022-09-22T00:00:00"/>
    <s v="Cassandra Farley"/>
    <x v="0"/>
    <s v="Orlando"/>
    <x v="24"/>
    <x v="10"/>
  </r>
  <r>
    <s v="B-25112"/>
    <n v="7421"/>
    <n v="6463"/>
    <n v="958"/>
    <n v="10"/>
    <x v="2"/>
    <x v="4"/>
    <x v="4"/>
    <d v="2022-12-20T00:00:00"/>
    <s v="Justin Vasquez"/>
    <x v="4"/>
    <s v="Houston"/>
    <x v="29"/>
    <x v="1"/>
  </r>
  <r>
    <s v="B-25112"/>
    <n v="7421"/>
    <n v="6463"/>
    <n v="958"/>
    <n v="10"/>
    <x v="2"/>
    <x v="4"/>
    <x v="4"/>
    <d v="2022-01-16T00:00:00"/>
    <s v="Melissa Morales"/>
    <x v="4"/>
    <s v="Houston"/>
    <x v="12"/>
    <x v="8"/>
  </r>
  <r>
    <s v="B-25112"/>
    <n v="7421"/>
    <n v="6463"/>
    <n v="958"/>
    <n v="10"/>
    <x v="2"/>
    <x v="4"/>
    <x v="4"/>
    <d v="2023-01-29T00:00:00"/>
    <s v="Tyler Thompson"/>
    <x v="4"/>
    <s v="Dallas"/>
    <x v="54"/>
    <x v="8"/>
  </r>
  <r>
    <s v="B-25223"/>
    <n v="3099"/>
    <n v="2620"/>
    <n v="479"/>
    <n v="1"/>
    <x v="1"/>
    <x v="8"/>
    <x v="4"/>
    <d v="2022-01-15T00:00:00"/>
    <s v="Heidi Davis"/>
    <x v="2"/>
    <s v="Buffalo"/>
    <x v="12"/>
    <x v="8"/>
  </r>
  <r>
    <s v="B-25223"/>
    <n v="2521"/>
    <n v="1615"/>
    <n v="906"/>
    <n v="7"/>
    <x v="0"/>
    <x v="10"/>
    <x v="4"/>
    <d v="2022-01-15T00:00:00"/>
    <s v="Heidi Davis"/>
    <x v="2"/>
    <s v="Buffalo"/>
    <x v="12"/>
    <x v="8"/>
  </r>
  <r>
    <s v="B-25714"/>
    <n v="6962"/>
    <n v="3533"/>
    <n v="3429"/>
    <n v="12"/>
    <x v="0"/>
    <x v="0"/>
    <x v="0"/>
    <d v="2024-03-24T00:00:00"/>
    <s v="Charles Lane"/>
    <x v="4"/>
    <s v="Dallas"/>
    <x v="55"/>
    <x v="6"/>
  </r>
  <r>
    <s v="B-25714"/>
    <n v="6962"/>
    <n v="3533"/>
    <n v="3429"/>
    <n v="12"/>
    <x v="0"/>
    <x v="0"/>
    <x v="0"/>
    <d v="2025-02-19T00:00:00"/>
    <s v="Joyce Good MD"/>
    <x v="0"/>
    <s v="Miami"/>
    <x v="9"/>
    <x v="7"/>
  </r>
  <r>
    <s v="B-26607"/>
    <n v="1085"/>
    <n v="784"/>
    <n v="301"/>
    <n v="20"/>
    <x v="2"/>
    <x v="11"/>
    <x v="0"/>
    <d v="2024-07-13T00:00:00"/>
    <s v="Maria Miller"/>
    <x v="2"/>
    <s v="Buffalo"/>
    <x v="41"/>
    <x v="2"/>
  </r>
  <r>
    <s v="B-25038"/>
    <n v="738"/>
    <n v="396"/>
    <n v="342"/>
    <n v="2"/>
    <x v="2"/>
    <x v="5"/>
    <x v="1"/>
    <d v="2023-04-28T00:00:00"/>
    <s v="Terry Mcdaniel"/>
    <x v="5"/>
    <s v="Cincinnati"/>
    <x v="28"/>
    <x v="11"/>
  </r>
  <r>
    <s v="B-25038"/>
    <n v="738"/>
    <n v="396"/>
    <n v="342"/>
    <n v="2"/>
    <x v="2"/>
    <x v="5"/>
    <x v="1"/>
    <d v="2020-12-05T00:00:00"/>
    <s v="Lisa Jacobs"/>
    <x v="2"/>
    <s v="Buffalo"/>
    <x v="50"/>
    <x v="1"/>
  </r>
  <r>
    <s v="B-25038"/>
    <n v="738"/>
    <n v="396"/>
    <n v="342"/>
    <n v="2"/>
    <x v="2"/>
    <x v="5"/>
    <x v="1"/>
    <d v="2024-05-14T00:00:00"/>
    <s v="Jeff Duncan"/>
    <x v="5"/>
    <s v="Cincinnati"/>
    <x v="3"/>
    <x v="3"/>
  </r>
  <r>
    <s v="B-25038"/>
    <n v="738"/>
    <n v="396"/>
    <n v="342"/>
    <n v="2"/>
    <x v="2"/>
    <x v="5"/>
    <x v="1"/>
    <d v="2022-01-18T00:00:00"/>
    <s v="Pamela Jones"/>
    <x v="2"/>
    <s v="New York City"/>
    <x v="12"/>
    <x v="8"/>
  </r>
  <r>
    <s v="B-26672"/>
    <n v="1366"/>
    <n v="1124"/>
    <n v="242"/>
    <n v="17"/>
    <x v="0"/>
    <x v="0"/>
    <x v="2"/>
    <d v="2023-09-18T00:00:00"/>
    <s v="Renee Robinson"/>
    <x v="5"/>
    <s v="Columbus"/>
    <x v="48"/>
    <x v="10"/>
  </r>
  <r>
    <s v="B-26672"/>
    <n v="1518"/>
    <n v="1363"/>
    <n v="155"/>
    <n v="13"/>
    <x v="1"/>
    <x v="6"/>
    <x v="3"/>
    <d v="2023-09-18T00:00:00"/>
    <s v="Renee Robinson"/>
    <x v="5"/>
    <s v="Columbus"/>
    <x v="48"/>
    <x v="10"/>
  </r>
  <r>
    <s v="B-25747"/>
    <n v="2962"/>
    <n v="1492"/>
    <n v="1470"/>
    <n v="1"/>
    <x v="0"/>
    <x v="10"/>
    <x v="4"/>
    <d v="2021-05-12T00:00:00"/>
    <s v="Jessica Kidd"/>
    <x v="2"/>
    <s v="Buffalo"/>
    <x v="18"/>
    <x v="3"/>
  </r>
  <r>
    <s v="B-25747"/>
    <n v="2962"/>
    <n v="1492"/>
    <n v="1470"/>
    <n v="1"/>
    <x v="0"/>
    <x v="10"/>
    <x v="4"/>
    <d v="2023-09-17T00:00:00"/>
    <s v="Nicholas Martin"/>
    <x v="0"/>
    <s v="Tampa"/>
    <x v="48"/>
    <x v="10"/>
  </r>
  <r>
    <s v="B-25747"/>
    <n v="7131"/>
    <n v="6413"/>
    <n v="718"/>
    <n v="12"/>
    <x v="0"/>
    <x v="1"/>
    <x v="0"/>
    <d v="2021-05-12T00:00:00"/>
    <s v="Jessica Kidd"/>
    <x v="2"/>
    <s v="Buffalo"/>
    <x v="18"/>
    <x v="3"/>
  </r>
  <r>
    <s v="B-25747"/>
    <n v="7131"/>
    <n v="6413"/>
    <n v="718"/>
    <n v="12"/>
    <x v="0"/>
    <x v="1"/>
    <x v="0"/>
    <d v="2023-09-17T00:00:00"/>
    <s v="Nicholas Martin"/>
    <x v="0"/>
    <s v="Tampa"/>
    <x v="48"/>
    <x v="10"/>
  </r>
  <r>
    <s v="B-25747"/>
    <n v="4200"/>
    <n v="3345"/>
    <n v="855"/>
    <n v="10"/>
    <x v="1"/>
    <x v="6"/>
    <x v="2"/>
    <d v="2021-05-12T00:00:00"/>
    <s v="Jessica Kidd"/>
    <x v="2"/>
    <s v="Buffalo"/>
    <x v="18"/>
    <x v="3"/>
  </r>
  <r>
    <s v="B-25747"/>
    <n v="4200"/>
    <n v="3345"/>
    <n v="855"/>
    <n v="10"/>
    <x v="1"/>
    <x v="6"/>
    <x v="2"/>
    <d v="2023-09-17T00:00:00"/>
    <s v="Nicholas Martin"/>
    <x v="0"/>
    <s v="Tampa"/>
    <x v="48"/>
    <x v="10"/>
  </r>
  <r>
    <s v="B-26322"/>
    <n v="5934"/>
    <n v="4371"/>
    <n v="1563"/>
    <n v="2"/>
    <x v="1"/>
    <x v="6"/>
    <x v="2"/>
    <d v="2024-09-06T00:00:00"/>
    <s v="David Brown"/>
    <x v="1"/>
    <s v="Peoria"/>
    <x v="31"/>
    <x v="10"/>
  </r>
  <r>
    <s v="B-26613"/>
    <n v="2701"/>
    <n v="2379"/>
    <n v="322"/>
    <n v="11"/>
    <x v="0"/>
    <x v="1"/>
    <x v="0"/>
    <d v="2022-06-18T00:00:00"/>
    <s v="Amber Moore"/>
    <x v="2"/>
    <s v="New York City"/>
    <x v="33"/>
    <x v="0"/>
  </r>
  <r>
    <s v="B-26613"/>
    <n v="7273"/>
    <n v="4571"/>
    <n v="2702"/>
    <n v="18"/>
    <x v="1"/>
    <x v="8"/>
    <x v="4"/>
    <d v="2022-06-18T00:00:00"/>
    <s v="Amber Moore"/>
    <x v="2"/>
    <s v="New York City"/>
    <x v="33"/>
    <x v="0"/>
  </r>
  <r>
    <s v="B-25413"/>
    <n v="2465"/>
    <n v="1766"/>
    <n v="699"/>
    <n v="18"/>
    <x v="1"/>
    <x v="6"/>
    <x v="1"/>
    <d v="2020-05-22T00:00:00"/>
    <s v="James Williams"/>
    <x v="3"/>
    <s v="San Francisco"/>
    <x v="8"/>
    <x v="3"/>
  </r>
  <r>
    <s v="B-26466"/>
    <n v="3479"/>
    <n v="2392"/>
    <n v="1087"/>
    <n v="2"/>
    <x v="1"/>
    <x v="6"/>
    <x v="2"/>
    <d v="2024-10-17T00:00:00"/>
    <s v="Karina Barr"/>
    <x v="4"/>
    <s v="Dallas"/>
    <x v="56"/>
    <x v="4"/>
  </r>
  <r>
    <s v="B-26466"/>
    <n v="5457"/>
    <n v="3692"/>
    <n v="1765"/>
    <n v="7"/>
    <x v="0"/>
    <x v="1"/>
    <x v="2"/>
    <d v="2024-10-17T00:00:00"/>
    <s v="Karina Barr"/>
    <x v="4"/>
    <s v="Dallas"/>
    <x v="56"/>
    <x v="4"/>
  </r>
  <r>
    <s v="B-26610"/>
    <n v="4957"/>
    <n v="3805"/>
    <n v="1152"/>
    <n v="8"/>
    <x v="1"/>
    <x v="6"/>
    <x v="3"/>
    <d v="2022-03-22T00:00:00"/>
    <s v="Meghan Rush"/>
    <x v="5"/>
    <s v="Cleveland"/>
    <x v="25"/>
    <x v="6"/>
  </r>
  <r>
    <s v="B-26209"/>
    <n v="4404"/>
    <n v="3546"/>
    <n v="858"/>
    <n v="17"/>
    <x v="1"/>
    <x v="2"/>
    <x v="1"/>
    <d v="2024-03-17T00:00:00"/>
    <s v="Bianca Brown"/>
    <x v="5"/>
    <s v="Columbus"/>
    <x v="55"/>
    <x v="6"/>
  </r>
  <r>
    <s v="B-26209"/>
    <n v="8776"/>
    <n v="6247"/>
    <n v="2529"/>
    <n v="15"/>
    <x v="2"/>
    <x v="7"/>
    <x v="3"/>
    <d v="2024-03-17T00:00:00"/>
    <s v="Bianca Brown"/>
    <x v="5"/>
    <s v="Columbus"/>
    <x v="55"/>
    <x v="6"/>
  </r>
  <r>
    <s v="B-26622"/>
    <n v="9536"/>
    <n v="8099"/>
    <n v="1437"/>
    <n v="9"/>
    <x v="0"/>
    <x v="10"/>
    <x v="0"/>
    <d v="2020-04-02T00:00:00"/>
    <s v="Timothy Jensen"/>
    <x v="0"/>
    <s v="Orlando"/>
    <x v="32"/>
    <x v="11"/>
  </r>
  <r>
    <s v="B-26622"/>
    <n v="2225"/>
    <n v="1636"/>
    <n v="589"/>
    <n v="7"/>
    <x v="2"/>
    <x v="7"/>
    <x v="3"/>
    <d v="2020-04-02T00:00:00"/>
    <s v="Timothy Jensen"/>
    <x v="0"/>
    <s v="Orlando"/>
    <x v="32"/>
    <x v="11"/>
  </r>
  <r>
    <s v="B-26601"/>
    <n v="9574"/>
    <n v="5529"/>
    <n v="4045"/>
    <n v="19"/>
    <x v="2"/>
    <x v="11"/>
    <x v="0"/>
    <d v="2024-03-13T00:00:00"/>
    <s v="Melinda Montoya"/>
    <x v="3"/>
    <s v="San Francisco"/>
    <x v="55"/>
    <x v="6"/>
  </r>
  <r>
    <s v="B-26601"/>
    <n v="4382"/>
    <n v="3900"/>
    <n v="482"/>
    <n v="17"/>
    <x v="0"/>
    <x v="0"/>
    <x v="4"/>
    <d v="2024-03-13T00:00:00"/>
    <s v="Melinda Montoya"/>
    <x v="3"/>
    <s v="San Francisco"/>
    <x v="55"/>
    <x v="6"/>
  </r>
  <r>
    <s v="B-25894"/>
    <n v="8200"/>
    <n v="7943"/>
    <n v="257"/>
    <n v="19"/>
    <x v="0"/>
    <x v="3"/>
    <x v="4"/>
    <d v="2023-03-21T00:00:00"/>
    <s v="Tammy Bell"/>
    <x v="5"/>
    <s v="Cincinnati"/>
    <x v="45"/>
    <x v="6"/>
  </r>
  <r>
    <s v="B-25894"/>
    <n v="9316"/>
    <n v="6313"/>
    <n v="3003"/>
    <n v="13"/>
    <x v="2"/>
    <x v="7"/>
    <x v="3"/>
    <d v="2023-03-21T00:00:00"/>
    <s v="Tammy Bell"/>
    <x v="5"/>
    <s v="Cincinnati"/>
    <x v="45"/>
    <x v="6"/>
  </r>
  <r>
    <s v="B-25894"/>
    <n v="6379"/>
    <n v="3251"/>
    <n v="3128"/>
    <n v="15"/>
    <x v="0"/>
    <x v="0"/>
    <x v="4"/>
    <d v="2023-03-21T00:00:00"/>
    <s v="Tammy Bell"/>
    <x v="5"/>
    <s v="Cincinnati"/>
    <x v="45"/>
    <x v="6"/>
  </r>
  <r>
    <s v="B-26969"/>
    <n v="3348"/>
    <n v="2780"/>
    <n v="568"/>
    <n v="5"/>
    <x v="1"/>
    <x v="6"/>
    <x v="3"/>
    <d v="2024-03-02T00:00:00"/>
    <s v="Connie Richards"/>
    <x v="5"/>
    <s v="Cleveland"/>
    <x v="55"/>
    <x v="6"/>
  </r>
  <r>
    <s v="B-26969"/>
    <n v="3348"/>
    <n v="2780"/>
    <n v="568"/>
    <n v="5"/>
    <x v="1"/>
    <x v="6"/>
    <x v="3"/>
    <d v="2021-04-30T00:00:00"/>
    <s v="Peter Ward"/>
    <x v="2"/>
    <s v="Rochester"/>
    <x v="27"/>
    <x v="11"/>
  </r>
  <r>
    <s v="B-26969"/>
    <n v="8856"/>
    <n v="6836"/>
    <n v="2020"/>
    <n v="9"/>
    <x v="1"/>
    <x v="2"/>
    <x v="1"/>
    <d v="2024-03-02T00:00:00"/>
    <s v="Connie Richards"/>
    <x v="5"/>
    <s v="Cleveland"/>
    <x v="55"/>
    <x v="6"/>
  </r>
  <r>
    <s v="B-26969"/>
    <n v="8856"/>
    <n v="6836"/>
    <n v="2020"/>
    <n v="9"/>
    <x v="1"/>
    <x v="2"/>
    <x v="1"/>
    <d v="2021-04-30T00:00:00"/>
    <s v="Peter Ward"/>
    <x v="2"/>
    <s v="Rochester"/>
    <x v="27"/>
    <x v="11"/>
  </r>
  <r>
    <s v="B-26312"/>
    <n v="1760"/>
    <n v="1141"/>
    <n v="619"/>
    <n v="16"/>
    <x v="2"/>
    <x v="7"/>
    <x v="1"/>
    <d v="2021-09-15T00:00:00"/>
    <s v="Jonathan Alvarez"/>
    <x v="5"/>
    <s v="Columbus"/>
    <x v="43"/>
    <x v="10"/>
  </r>
  <r>
    <s v="B-26312"/>
    <n v="1760"/>
    <n v="1141"/>
    <n v="619"/>
    <n v="16"/>
    <x v="2"/>
    <x v="7"/>
    <x v="1"/>
    <d v="2023-01-28T00:00:00"/>
    <s v="Becky Hodges"/>
    <x v="4"/>
    <s v="Houston"/>
    <x v="54"/>
    <x v="8"/>
  </r>
  <r>
    <s v="B-26312"/>
    <n v="6351"/>
    <n v="5365"/>
    <n v="986"/>
    <n v="15"/>
    <x v="0"/>
    <x v="1"/>
    <x v="0"/>
    <d v="2021-09-15T00:00:00"/>
    <s v="Jonathan Alvarez"/>
    <x v="5"/>
    <s v="Columbus"/>
    <x v="43"/>
    <x v="10"/>
  </r>
  <r>
    <s v="B-26312"/>
    <n v="6351"/>
    <n v="5365"/>
    <n v="986"/>
    <n v="15"/>
    <x v="0"/>
    <x v="1"/>
    <x v="0"/>
    <d v="2023-01-28T00:00:00"/>
    <s v="Becky Hodges"/>
    <x v="4"/>
    <s v="Houston"/>
    <x v="54"/>
    <x v="8"/>
  </r>
  <r>
    <s v="B-26837"/>
    <n v="869"/>
    <n v="496"/>
    <n v="373"/>
    <n v="14"/>
    <x v="1"/>
    <x v="8"/>
    <x v="3"/>
    <d v="2021-07-08T00:00:00"/>
    <s v="Larry Hill"/>
    <x v="2"/>
    <s v="New York City"/>
    <x v="2"/>
    <x v="2"/>
  </r>
  <r>
    <s v="B-26837"/>
    <n v="869"/>
    <n v="496"/>
    <n v="373"/>
    <n v="14"/>
    <x v="1"/>
    <x v="8"/>
    <x v="3"/>
    <d v="2020-04-08T00:00:00"/>
    <s v="Amber Moon"/>
    <x v="5"/>
    <s v="Cleveland"/>
    <x v="32"/>
    <x v="11"/>
  </r>
  <r>
    <s v="B-26837"/>
    <n v="1486"/>
    <n v="1372"/>
    <n v="114"/>
    <n v="7"/>
    <x v="2"/>
    <x v="11"/>
    <x v="0"/>
    <d v="2021-07-08T00:00:00"/>
    <s v="Larry Hill"/>
    <x v="2"/>
    <s v="New York City"/>
    <x v="2"/>
    <x v="2"/>
  </r>
  <r>
    <s v="B-26837"/>
    <n v="1486"/>
    <n v="1372"/>
    <n v="114"/>
    <n v="7"/>
    <x v="2"/>
    <x v="11"/>
    <x v="0"/>
    <d v="2020-04-08T00:00:00"/>
    <s v="Amber Moon"/>
    <x v="5"/>
    <s v="Cleveland"/>
    <x v="32"/>
    <x v="11"/>
  </r>
  <r>
    <s v="B-26166"/>
    <n v="2999"/>
    <n v="2854"/>
    <n v="145"/>
    <n v="13"/>
    <x v="1"/>
    <x v="9"/>
    <x v="4"/>
    <d v="2022-08-23T00:00:00"/>
    <s v="Cynthia Wilcox"/>
    <x v="1"/>
    <s v="Chicago"/>
    <x v="40"/>
    <x v="9"/>
  </r>
  <r>
    <s v="B-26166"/>
    <n v="5142"/>
    <n v="3226"/>
    <n v="1916"/>
    <n v="20"/>
    <x v="1"/>
    <x v="8"/>
    <x v="2"/>
    <d v="2022-08-23T00:00:00"/>
    <s v="Cynthia Wilcox"/>
    <x v="1"/>
    <s v="Chicago"/>
    <x v="40"/>
    <x v="9"/>
  </r>
  <r>
    <s v="B-25695"/>
    <n v="1239"/>
    <n v="664"/>
    <n v="575"/>
    <n v="17"/>
    <x v="0"/>
    <x v="3"/>
    <x v="0"/>
    <d v="2022-12-17T00:00:00"/>
    <s v="Rebecca Wright"/>
    <x v="2"/>
    <s v="Rochester"/>
    <x v="29"/>
    <x v="1"/>
  </r>
  <r>
    <s v="B-25695"/>
    <n v="1239"/>
    <n v="664"/>
    <n v="575"/>
    <n v="17"/>
    <x v="0"/>
    <x v="3"/>
    <x v="0"/>
    <d v="2022-06-08T00:00:00"/>
    <s v="Sarah Flores"/>
    <x v="1"/>
    <s v="Springfield"/>
    <x v="33"/>
    <x v="0"/>
  </r>
  <r>
    <s v="B-25695"/>
    <n v="1262"/>
    <n v="747"/>
    <n v="515"/>
    <n v="16"/>
    <x v="0"/>
    <x v="0"/>
    <x v="2"/>
    <d v="2022-12-17T00:00:00"/>
    <s v="Rebecca Wright"/>
    <x v="2"/>
    <s v="Rochester"/>
    <x v="29"/>
    <x v="1"/>
  </r>
  <r>
    <s v="B-25695"/>
    <n v="1262"/>
    <n v="747"/>
    <n v="515"/>
    <n v="16"/>
    <x v="0"/>
    <x v="0"/>
    <x v="2"/>
    <d v="2022-06-08T00:00:00"/>
    <s v="Sarah Flores"/>
    <x v="1"/>
    <s v="Springfield"/>
    <x v="33"/>
    <x v="0"/>
  </r>
  <r>
    <s v="B-26068"/>
    <n v="1033"/>
    <n v="779"/>
    <n v="254"/>
    <n v="5"/>
    <x v="2"/>
    <x v="11"/>
    <x v="4"/>
    <d v="2020-08-28T00:00:00"/>
    <s v="Carol Norman"/>
    <x v="2"/>
    <s v="Rochester"/>
    <x v="38"/>
    <x v="9"/>
  </r>
  <r>
    <s v="B-26023"/>
    <n v="1518"/>
    <n v="1359"/>
    <n v="159"/>
    <n v="19"/>
    <x v="0"/>
    <x v="1"/>
    <x v="0"/>
    <d v="2020-09-26T00:00:00"/>
    <s v="Stephanie Gardner"/>
    <x v="3"/>
    <s v="San Diego"/>
    <x v="57"/>
    <x v="10"/>
  </r>
  <r>
    <s v="B-26677"/>
    <n v="8581"/>
    <n v="6137"/>
    <n v="2444"/>
    <n v="2"/>
    <x v="1"/>
    <x v="8"/>
    <x v="1"/>
    <d v="2020-12-13T00:00:00"/>
    <s v="Philip Baker"/>
    <x v="1"/>
    <s v="Peoria"/>
    <x v="50"/>
    <x v="1"/>
  </r>
  <r>
    <s v="B-26677"/>
    <n v="8581"/>
    <n v="6137"/>
    <n v="2444"/>
    <n v="2"/>
    <x v="1"/>
    <x v="8"/>
    <x v="1"/>
    <d v="2020-11-19T00:00:00"/>
    <s v="Randall Dennis"/>
    <x v="0"/>
    <s v="Orlando"/>
    <x v="11"/>
    <x v="5"/>
  </r>
  <r>
    <s v="B-25701"/>
    <n v="1167"/>
    <n v="704"/>
    <n v="463"/>
    <n v="5"/>
    <x v="1"/>
    <x v="2"/>
    <x v="0"/>
    <d v="2023-09-13T00:00:00"/>
    <s v="Suzanne Cross"/>
    <x v="4"/>
    <s v="Austin"/>
    <x v="48"/>
    <x v="10"/>
  </r>
  <r>
    <s v="B-25701"/>
    <n v="2841"/>
    <n v="2038"/>
    <n v="803"/>
    <n v="20"/>
    <x v="0"/>
    <x v="3"/>
    <x v="3"/>
    <d v="2023-09-13T00:00:00"/>
    <s v="Suzanne Cross"/>
    <x v="4"/>
    <s v="Austin"/>
    <x v="48"/>
    <x v="10"/>
  </r>
  <r>
    <s v="B-25701"/>
    <n v="5680"/>
    <n v="3521"/>
    <n v="2159"/>
    <n v="19"/>
    <x v="2"/>
    <x v="4"/>
    <x v="0"/>
    <d v="2023-09-13T00:00:00"/>
    <s v="Suzanne Cross"/>
    <x v="4"/>
    <s v="Austin"/>
    <x v="48"/>
    <x v="10"/>
  </r>
  <r>
    <s v="B-26523"/>
    <n v="8204"/>
    <n v="5822"/>
    <n v="2382"/>
    <n v="6"/>
    <x v="1"/>
    <x v="2"/>
    <x v="0"/>
    <d v="2020-03-31T00:00:00"/>
    <s v="Jasmine Delgado"/>
    <x v="1"/>
    <s v="Chicago"/>
    <x v="7"/>
    <x v="6"/>
  </r>
  <r>
    <s v="B-26523"/>
    <n v="8204"/>
    <n v="5822"/>
    <n v="2382"/>
    <n v="6"/>
    <x v="1"/>
    <x v="2"/>
    <x v="0"/>
    <d v="2020-10-20T00:00:00"/>
    <s v="Kristen Harper"/>
    <x v="2"/>
    <s v="Buffalo"/>
    <x v="20"/>
    <x v="4"/>
  </r>
  <r>
    <s v="B-26523"/>
    <n v="2850"/>
    <n v="1946"/>
    <n v="904"/>
    <n v="6"/>
    <x v="0"/>
    <x v="10"/>
    <x v="2"/>
    <d v="2020-03-31T00:00:00"/>
    <s v="Jasmine Delgado"/>
    <x v="1"/>
    <s v="Chicago"/>
    <x v="7"/>
    <x v="6"/>
  </r>
  <r>
    <s v="B-26523"/>
    <n v="2850"/>
    <n v="1946"/>
    <n v="904"/>
    <n v="6"/>
    <x v="0"/>
    <x v="10"/>
    <x v="2"/>
    <d v="2020-10-20T00:00:00"/>
    <s v="Kristen Harper"/>
    <x v="2"/>
    <s v="Buffalo"/>
    <x v="20"/>
    <x v="4"/>
  </r>
  <r>
    <s v="B-25880"/>
    <n v="907"/>
    <n v="516"/>
    <n v="391"/>
    <n v="9"/>
    <x v="1"/>
    <x v="2"/>
    <x v="3"/>
    <d v="2023-08-04T00:00:00"/>
    <s v="Kaitlyn Graham MD"/>
    <x v="2"/>
    <s v="New York City"/>
    <x v="21"/>
    <x v="9"/>
  </r>
  <r>
    <s v="B-26898"/>
    <n v="2174"/>
    <n v="1909"/>
    <n v="265"/>
    <n v="19"/>
    <x v="1"/>
    <x v="2"/>
    <x v="3"/>
    <d v="2022-04-11T00:00:00"/>
    <s v="Dean Avila"/>
    <x v="5"/>
    <s v="Cincinnati"/>
    <x v="39"/>
    <x v="11"/>
  </r>
  <r>
    <s v="B-26898"/>
    <n v="8541"/>
    <n v="6512"/>
    <n v="2029"/>
    <n v="12"/>
    <x v="0"/>
    <x v="0"/>
    <x v="3"/>
    <d v="2022-04-11T00:00:00"/>
    <s v="Dean Avila"/>
    <x v="5"/>
    <s v="Cincinnati"/>
    <x v="39"/>
    <x v="11"/>
  </r>
  <r>
    <s v="B-26898"/>
    <n v="1931"/>
    <n v="1380"/>
    <n v="551"/>
    <n v="3"/>
    <x v="2"/>
    <x v="11"/>
    <x v="2"/>
    <d v="2022-04-11T00:00:00"/>
    <s v="Dean Avila"/>
    <x v="5"/>
    <s v="Cincinnati"/>
    <x v="39"/>
    <x v="11"/>
  </r>
  <r>
    <s v="B-26035"/>
    <n v="1281"/>
    <n v="941"/>
    <n v="340"/>
    <n v="3"/>
    <x v="0"/>
    <x v="0"/>
    <x v="1"/>
    <d v="2021-12-31T00:00:00"/>
    <s v="Megan Mack"/>
    <x v="4"/>
    <s v="Austin"/>
    <x v="13"/>
    <x v="1"/>
  </r>
  <r>
    <s v="B-26035"/>
    <n v="2404"/>
    <n v="2151"/>
    <n v="253"/>
    <n v="15"/>
    <x v="0"/>
    <x v="3"/>
    <x v="4"/>
    <d v="2021-12-31T00:00:00"/>
    <s v="Megan Mack"/>
    <x v="4"/>
    <s v="Austin"/>
    <x v="13"/>
    <x v="1"/>
  </r>
  <r>
    <s v="B-25573"/>
    <n v="2119"/>
    <n v="1923"/>
    <n v="196"/>
    <n v="1"/>
    <x v="2"/>
    <x v="7"/>
    <x v="4"/>
    <d v="2020-08-16T00:00:00"/>
    <s v="Heather Johnson"/>
    <x v="3"/>
    <s v="Los Angeles"/>
    <x v="38"/>
    <x v="9"/>
  </r>
  <r>
    <s v="B-25463"/>
    <n v="3137"/>
    <n v="2566"/>
    <n v="571"/>
    <n v="9"/>
    <x v="1"/>
    <x v="2"/>
    <x v="1"/>
    <d v="2025-02-02T00:00:00"/>
    <s v="Tina Davies"/>
    <x v="1"/>
    <s v="Chicago"/>
    <x v="9"/>
    <x v="7"/>
  </r>
  <r>
    <s v="B-26277"/>
    <n v="2323"/>
    <n v="1596"/>
    <n v="727"/>
    <n v="7"/>
    <x v="2"/>
    <x v="4"/>
    <x v="4"/>
    <d v="2022-02-24T00:00:00"/>
    <s v="Matthew Harris"/>
    <x v="4"/>
    <s v="Dallas"/>
    <x v="26"/>
    <x v="7"/>
  </r>
  <r>
    <s v="B-26277"/>
    <n v="1368"/>
    <n v="962"/>
    <n v="406"/>
    <n v="9"/>
    <x v="2"/>
    <x v="11"/>
    <x v="0"/>
    <d v="2022-02-24T00:00:00"/>
    <s v="Matthew Harris"/>
    <x v="4"/>
    <s v="Dallas"/>
    <x v="26"/>
    <x v="7"/>
  </r>
  <r>
    <s v="B-26508"/>
    <n v="9204"/>
    <n v="5915"/>
    <n v="3289"/>
    <n v="16"/>
    <x v="0"/>
    <x v="3"/>
    <x v="3"/>
    <d v="2024-02-25T00:00:00"/>
    <s v="Christopher Kirk"/>
    <x v="0"/>
    <s v="Miami"/>
    <x v="42"/>
    <x v="7"/>
  </r>
  <r>
    <s v="B-26508"/>
    <n v="9204"/>
    <n v="5915"/>
    <n v="3289"/>
    <n v="16"/>
    <x v="0"/>
    <x v="3"/>
    <x v="3"/>
    <d v="2021-06-15T00:00:00"/>
    <s v="Eric Stevens"/>
    <x v="0"/>
    <s v="Miami"/>
    <x v="22"/>
    <x v="0"/>
  </r>
  <r>
    <s v="B-26508"/>
    <n v="9894"/>
    <n v="6196"/>
    <n v="3698"/>
    <n v="20"/>
    <x v="1"/>
    <x v="8"/>
    <x v="2"/>
    <d v="2024-02-25T00:00:00"/>
    <s v="Christopher Kirk"/>
    <x v="0"/>
    <s v="Miami"/>
    <x v="42"/>
    <x v="7"/>
  </r>
  <r>
    <s v="B-26508"/>
    <n v="9894"/>
    <n v="6196"/>
    <n v="3698"/>
    <n v="20"/>
    <x v="1"/>
    <x v="8"/>
    <x v="2"/>
    <d v="2021-06-15T00:00:00"/>
    <s v="Eric Stevens"/>
    <x v="0"/>
    <s v="Miami"/>
    <x v="22"/>
    <x v="0"/>
  </r>
  <r>
    <s v="B-26723"/>
    <n v="5322"/>
    <n v="3899"/>
    <n v="1423"/>
    <n v="18"/>
    <x v="2"/>
    <x v="7"/>
    <x v="4"/>
    <d v="2022-12-08T00:00:00"/>
    <s v="James Dickerson"/>
    <x v="4"/>
    <s v="Houston"/>
    <x v="29"/>
    <x v="1"/>
  </r>
  <r>
    <s v="B-26723"/>
    <n v="5322"/>
    <n v="3899"/>
    <n v="1423"/>
    <n v="18"/>
    <x v="2"/>
    <x v="7"/>
    <x v="4"/>
    <d v="2023-12-09T00:00:00"/>
    <s v="James Jones"/>
    <x v="4"/>
    <s v="Dallas"/>
    <x v="16"/>
    <x v="1"/>
  </r>
  <r>
    <s v="B-25526"/>
    <n v="2666"/>
    <n v="2107"/>
    <n v="559"/>
    <n v="14"/>
    <x v="2"/>
    <x v="5"/>
    <x v="4"/>
    <d v="2022-07-16T00:00:00"/>
    <s v="Hannah Hendricks"/>
    <x v="5"/>
    <s v="Cleveland"/>
    <x v="58"/>
    <x v="2"/>
  </r>
  <r>
    <s v="B-25645"/>
    <n v="8383"/>
    <n v="7446"/>
    <n v="937"/>
    <n v="4"/>
    <x v="2"/>
    <x v="7"/>
    <x v="0"/>
    <d v="2024-05-05T00:00:00"/>
    <s v="Brett Mullins"/>
    <x v="0"/>
    <s v="Orlando"/>
    <x v="3"/>
    <x v="3"/>
  </r>
  <r>
    <s v="B-25757"/>
    <n v="7560"/>
    <n v="6739"/>
    <n v="821"/>
    <n v="4"/>
    <x v="1"/>
    <x v="8"/>
    <x v="2"/>
    <d v="2021-10-04T00:00:00"/>
    <s v="Ms. Kim Jordan"/>
    <x v="1"/>
    <s v="Chicago"/>
    <x v="4"/>
    <x v="4"/>
  </r>
  <r>
    <s v="B-26716"/>
    <n v="1314"/>
    <n v="824"/>
    <n v="490"/>
    <n v="16"/>
    <x v="2"/>
    <x v="7"/>
    <x v="0"/>
    <d v="2021-11-20T00:00:00"/>
    <s v="Marcus Santiago"/>
    <x v="2"/>
    <s v="Buffalo"/>
    <x v="35"/>
    <x v="5"/>
  </r>
  <r>
    <s v="B-26716"/>
    <n v="4390"/>
    <n v="4211"/>
    <n v="179"/>
    <n v="1"/>
    <x v="2"/>
    <x v="4"/>
    <x v="1"/>
    <d v="2021-11-20T00:00:00"/>
    <s v="Marcus Santiago"/>
    <x v="2"/>
    <s v="Buffalo"/>
    <x v="35"/>
    <x v="5"/>
  </r>
  <r>
    <s v="B-26716"/>
    <n v="1150"/>
    <n v="1092"/>
    <n v="58"/>
    <n v="7"/>
    <x v="1"/>
    <x v="9"/>
    <x v="1"/>
    <d v="2021-11-20T00:00:00"/>
    <s v="Marcus Santiago"/>
    <x v="2"/>
    <s v="Buffalo"/>
    <x v="35"/>
    <x v="5"/>
  </r>
  <r>
    <s v="B-25424"/>
    <n v="1574"/>
    <n v="1316"/>
    <n v="258"/>
    <n v="17"/>
    <x v="1"/>
    <x v="2"/>
    <x v="2"/>
    <d v="2020-09-15T00:00:00"/>
    <s v="Jill Perez"/>
    <x v="3"/>
    <s v="San Diego"/>
    <x v="57"/>
    <x v="10"/>
  </r>
  <r>
    <s v="B-25424"/>
    <n v="5635"/>
    <n v="5317"/>
    <n v="318"/>
    <n v="17"/>
    <x v="1"/>
    <x v="9"/>
    <x v="0"/>
    <d v="2020-09-15T00:00:00"/>
    <s v="Jill Perez"/>
    <x v="3"/>
    <s v="San Diego"/>
    <x v="57"/>
    <x v="10"/>
  </r>
  <r>
    <s v="B-25424"/>
    <n v="6515"/>
    <n v="5554"/>
    <n v="961"/>
    <n v="11"/>
    <x v="2"/>
    <x v="7"/>
    <x v="1"/>
    <d v="2020-09-15T00:00:00"/>
    <s v="Jill Perez"/>
    <x v="3"/>
    <s v="San Diego"/>
    <x v="57"/>
    <x v="10"/>
  </r>
  <r>
    <s v="B-26453"/>
    <n v="1231"/>
    <n v="1017"/>
    <n v="214"/>
    <n v="20"/>
    <x v="0"/>
    <x v="3"/>
    <x v="1"/>
    <d v="2023-01-17T00:00:00"/>
    <s v="Courtney Williams"/>
    <x v="5"/>
    <s v="Columbus"/>
    <x v="54"/>
    <x v="8"/>
  </r>
  <r>
    <s v="B-26453"/>
    <n v="1231"/>
    <n v="1017"/>
    <n v="214"/>
    <n v="20"/>
    <x v="0"/>
    <x v="3"/>
    <x v="1"/>
    <d v="2020-06-16T00:00:00"/>
    <s v="Jordan Hahn"/>
    <x v="2"/>
    <s v="Rochester"/>
    <x v="53"/>
    <x v="0"/>
  </r>
  <r>
    <s v="B-26425"/>
    <n v="6891"/>
    <n v="4362"/>
    <n v="2529"/>
    <n v="3"/>
    <x v="1"/>
    <x v="9"/>
    <x v="1"/>
    <d v="2024-05-01T00:00:00"/>
    <s v="William Cook"/>
    <x v="5"/>
    <s v="Cleveland"/>
    <x v="3"/>
    <x v="3"/>
  </r>
  <r>
    <s v="B-25843"/>
    <n v="7524"/>
    <n v="5216"/>
    <n v="2308"/>
    <n v="15"/>
    <x v="0"/>
    <x v="3"/>
    <x v="2"/>
    <d v="2023-12-07T00:00:00"/>
    <s v="Stephanie Hayes"/>
    <x v="4"/>
    <s v="Austin"/>
    <x v="16"/>
    <x v="1"/>
  </r>
  <r>
    <s v="B-25843"/>
    <n v="6864"/>
    <n v="5040"/>
    <n v="1824"/>
    <n v="14"/>
    <x v="0"/>
    <x v="1"/>
    <x v="3"/>
    <d v="2023-12-07T00:00:00"/>
    <s v="Stephanie Hayes"/>
    <x v="4"/>
    <s v="Austin"/>
    <x v="16"/>
    <x v="1"/>
  </r>
  <r>
    <s v="B-25486"/>
    <n v="4215"/>
    <n v="3783"/>
    <n v="432"/>
    <n v="14"/>
    <x v="2"/>
    <x v="5"/>
    <x v="1"/>
    <d v="2024-02-02T00:00:00"/>
    <s v="Melissa Wise"/>
    <x v="5"/>
    <s v="Columbus"/>
    <x v="42"/>
    <x v="7"/>
  </r>
  <r>
    <s v="B-26975"/>
    <n v="622"/>
    <n v="404"/>
    <n v="218"/>
    <n v="19"/>
    <x v="2"/>
    <x v="11"/>
    <x v="3"/>
    <d v="2024-06-23T00:00:00"/>
    <s v="Elizabeth Gonzalez"/>
    <x v="3"/>
    <s v="San Diego"/>
    <x v="47"/>
    <x v="0"/>
  </r>
  <r>
    <s v="B-26975"/>
    <n v="1755"/>
    <n v="1260"/>
    <n v="495"/>
    <n v="18"/>
    <x v="1"/>
    <x v="2"/>
    <x v="0"/>
    <d v="2024-06-23T00:00:00"/>
    <s v="Elizabeth Gonzalez"/>
    <x v="3"/>
    <s v="San Diego"/>
    <x v="47"/>
    <x v="0"/>
  </r>
  <r>
    <s v="B-26975"/>
    <n v="8020"/>
    <n v="4122"/>
    <n v="3898"/>
    <n v="20"/>
    <x v="0"/>
    <x v="0"/>
    <x v="2"/>
    <d v="2024-06-23T00:00:00"/>
    <s v="Elizabeth Gonzalez"/>
    <x v="3"/>
    <s v="San Diego"/>
    <x v="47"/>
    <x v="0"/>
  </r>
  <r>
    <s v="B-26890"/>
    <n v="7333"/>
    <n v="5757"/>
    <n v="1576"/>
    <n v="4"/>
    <x v="0"/>
    <x v="3"/>
    <x v="3"/>
    <d v="2024-06-07T00:00:00"/>
    <s v="Mr. Eric Lopez"/>
    <x v="2"/>
    <s v="Buffalo"/>
    <x v="47"/>
    <x v="0"/>
  </r>
  <r>
    <s v="B-26125"/>
    <n v="7690"/>
    <n v="6556"/>
    <n v="1134"/>
    <n v="4"/>
    <x v="0"/>
    <x v="0"/>
    <x v="4"/>
    <d v="2023-10-13T00:00:00"/>
    <s v="Benjamin Higgins"/>
    <x v="2"/>
    <s v="Rochester"/>
    <x v="59"/>
    <x v="4"/>
  </r>
  <r>
    <s v="B-26125"/>
    <n v="912"/>
    <n v="666"/>
    <n v="246"/>
    <n v="2"/>
    <x v="2"/>
    <x v="7"/>
    <x v="2"/>
    <d v="2023-10-13T00:00:00"/>
    <s v="Benjamin Higgins"/>
    <x v="2"/>
    <s v="Rochester"/>
    <x v="59"/>
    <x v="4"/>
  </r>
  <r>
    <s v="B-26489"/>
    <n v="2791"/>
    <n v="1897"/>
    <n v="894"/>
    <n v="14"/>
    <x v="0"/>
    <x v="3"/>
    <x v="4"/>
    <d v="2022-10-08T00:00:00"/>
    <s v="Brett Sutton"/>
    <x v="4"/>
    <s v="Austin"/>
    <x v="15"/>
    <x v="4"/>
  </r>
  <r>
    <s v="B-26489"/>
    <n v="2791"/>
    <n v="1897"/>
    <n v="894"/>
    <n v="14"/>
    <x v="0"/>
    <x v="3"/>
    <x v="4"/>
    <d v="2023-10-27T00:00:00"/>
    <s v="Anna Blackburn"/>
    <x v="5"/>
    <s v="Cincinnati"/>
    <x v="59"/>
    <x v="4"/>
  </r>
  <r>
    <s v="B-26489"/>
    <n v="2791"/>
    <n v="1897"/>
    <n v="894"/>
    <n v="14"/>
    <x v="0"/>
    <x v="3"/>
    <x v="4"/>
    <d v="2021-02-09T00:00:00"/>
    <s v="Michelle Bailey"/>
    <x v="4"/>
    <s v="Dallas"/>
    <x v="51"/>
    <x v="7"/>
  </r>
  <r>
    <s v="B-26489"/>
    <n v="6223"/>
    <n v="4745"/>
    <n v="1478"/>
    <n v="3"/>
    <x v="2"/>
    <x v="7"/>
    <x v="1"/>
    <d v="2022-10-08T00:00:00"/>
    <s v="Brett Sutton"/>
    <x v="4"/>
    <s v="Austin"/>
    <x v="15"/>
    <x v="4"/>
  </r>
  <r>
    <s v="B-26489"/>
    <n v="6223"/>
    <n v="4745"/>
    <n v="1478"/>
    <n v="3"/>
    <x v="2"/>
    <x v="7"/>
    <x v="1"/>
    <d v="2023-10-27T00:00:00"/>
    <s v="Anna Blackburn"/>
    <x v="5"/>
    <s v="Cincinnati"/>
    <x v="59"/>
    <x v="4"/>
  </r>
  <r>
    <s v="B-26489"/>
    <n v="6223"/>
    <n v="4745"/>
    <n v="1478"/>
    <n v="3"/>
    <x v="2"/>
    <x v="7"/>
    <x v="1"/>
    <d v="2021-02-09T00:00:00"/>
    <s v="Michelle Bailey"/>
    <x v="4"/>
    <s v="Dallas"/>
    <x v="51"/>
    <x v="7"/>
  </r>
  <r>
    <s v="B-26489"/>
    <n v="8943"/>
    <n v="5822"/>
    <n v="3121"/>
    <n v="17"/>
    <x v="2"/>
    <x v="5"/>
    <x v="1"/>
    <d v="2022-10-08T00:00:00"/>
    <s v="Brett Sutton"/>
    <x v="4"/>
    <s v="Austin"/>
    <x v="15"/>
    <x v="4"/>
  </r>
  <r>
    <s v="B-26489"/>
    <n v="8943"/>
    <n v="5822"/>
    <n v="3121"/>
    <n v="17"/>
    <x v="2"/>
    <x v="5"/>
    <x v="1"/>
    <d v="2023-10-27T00:00:00"/>
    <s v="Anna Blackburn"/>
    <x v="5"/>
    <s v="Cincinnati"/>
    <x v="59"/>
    <x v="4"/>
  </r>
  <r>
    <s v="B-26489"/>
    <n v="8943"/>
    <n v="5822"/>
    <n v="3121"/>
    <n v="17"/>
    <x v="2"/>
    <x v="5"/>
    <x v="1"/>
    <d v="2021-02-09T00:00:00"/>
    <s v="Michelle Bailey"/>
    <x v="4"/>
    <s v="Dallas"/>
    <x v="51"/>
    <x v="7"/>
  </r>
  <r>
    <s v="B-26489"/>
    <n v="3297"/>
    <n v="3195"/>
    <n v="102"/>
    <n v="12"/>
    <x v="0"/>
    <x v="10"/>
    <x v="3"/>
    <d v="2022-10-08T00:00:00"/>
    <s v="Brett Sutton"/>
    <x v="4"/>
    <s v="Austin"/>
    <x v="15"/>
    <x v="4"/>
  </r>
  <r>
    <s v="B-26489"/>
    <n v="3297"/>
    <n v="3195"/>
    <n v="102"/>
    <n v="12"/>
    <x v="0"/>
    <x v="10"/>
    <x v="3"/>
    <d v="2023-10-27T00:00:00"/>
    <s v="Anna Blackburn"/>
    <x v="5"/>
    <s v="Cincinnati"/>
    <x v="59"/>
    <x v="4"/>
  </r>
  <r>
    <s v="B-26489"/>
    <n v="3297"/>
    <n v="3195"/>
    <n v="102"/>
    <n v="12"/>
    <x v="0"/>
    <x v="10"/>
    <x v="3"/>
    <d v="2021-02-09T00:00:00"/>
    <s v="Michelle Bailey"/>
    <x v="4"/>
    <s v="Dallas"/>
    <x v="51"/>
    <x v="7"/>
  </r>
  <r>
    <s v="B-26043"/>
    <n v="8769"/>
    <n v="6780"/>
    <n v="1989"/>
    <n v="20"/>
    <x v="1"/>
    <x v="8"/>
    <x v="0"/>
    <d v="2020-11-03T00:00:00"/>
    <s v="Sara Peterson"/>
    <x v="1"/>
    <s v="Chicago"/>
    <x v="11"/>
    <x v="5"/>
  </r>
  <r>
    <s v="B-26557"/>
    <n v="9057"/>
    <n v="7169"/>
    <n v="1888"/>
    <n v="19"/>
    <x v="0"/>
    <x v="1"/>
    <x v="4"/>
    <d v="2022-05-30T00:00:00"/>
    <s v="Katherine Williams"/>
    <x v="0"/>
    <s v="Orlando"/>
    <x v="37"/>
    <x v="3"/>
  </r>
  <r>
    <s v="B-26557"/>
    <n v="6864"/>
    <n v="3589"/>
    <n v="3275"/>
    <n v="11"/>
    <x v="2"/>
    <x v="4"/>
    <x v="3"/>
    <d v="2022-05-30T00:00:00"/>
    <s v="Katherine Williams"/>
    <x v="0"/>
    <s v="Orlando"/>
    <x v="37"/>
    <x v="3"/>
  </r>
  <r>
    <s v="B-26557"/>
    <n v="9200"/>
    <n v="8391"/>
    <n v="809"/>
    <n v="13"/>
    <x v="0"/>
    <x v="3"/>
    <x v="4"/>
    <d v="2022-05-30T00:00:00"/>
    <s v="Katherine Williams"/>
    <x v="0"/>
    <s v="Orlando"/>
    <x v="37"/>
    <x v="3"/>
  </r>
  <r>
    <s v="B-25243"/>
    <n v="6113"/>
    <n v="3605"/>
    <n v="2508"/>
    <n v="6"/>
    <x v="0"/>
    <x v="3"/>
    <x v="0"/>
    <d v="2024-06-16T00:00:00"/>
    <s v="Cory Evans"/>
    <x v="0"/>
    <s v="Orlando"/>
    <x v="47"/>
    <x v="0"/>
  </r>
  <r>
    <s v="B-25243"/>
    <n v="7733"/>
    <n v="4949"/>
    <n v="2784"/>
    <n v="15"/>
    <x v="2"/>
    <x v="4"/>
    <x v="2"/>
    <d v="2024-06-16T00:00:00"/>
    <s v="Cory Evans"/>
    <x v="0"/>
    <s v="Orlando"/>
    <x v="47"/>
    <x v="0"/>
  </r>
  <r>
    <s v="B-25243"/>
    <n v="8524"/>
    <n v="8370"/>
    <n v="154"/>
    <n v="14"/>
    <x v="2"/>
    <x v="4"/>
    <x v="4"/>
    <d v="2024-06-16T00:00:00"/>
    <s v="Cory Evans"/>
    <x v="0"/>
    <s v="Orlando"/>
    <x v="47"/>
    <x v="0"/>
  </r>
  <r>
    <s v="B-25243"/>
    <n v="6187"/>
    <n v="3843"/>
    <n v="2344"/>
    <n v="15"/>
    <x v="2"/>
    <x v="11"/>
    <x v="2"/>
    <d v="2024-06-16T00:00:00"/>
    <s v="Cory Evans"/>
    <x v="0"/>
    <s v="Orlando"/>
    <x v="47"/>
    <x v="0"/>
  </r>
  <r>
    <s v="B-26932"/>
    <n v="4364"/>
    <n v="4216"/>
    <n v="148"/>
    <n v="18"/>
    <x v="2"/>
    <x v="4"/>
    <x v="2"/>
    <d v="2022-07-15T00:00:00"/>
    <s v="Michael Rodriguez"/>
    <x v="5"/>
    <s v="Cincinnati"/>
    <x v="58"/>
    <x v="2"/>
  </r>
  <r>
    <s v="B-26932"/>
    <n v="736"/>
    <n v="450"/>
    <n v="286"/>
    <n v="12"/>
    <x v="1"/>
    <x v="2"/>
    <x v="2"/>
    <d v="2022-07-15T00:00:00"/>
    <s v="Michael Rodriguez"/>
    <x v="5"/>
    <s v="Cincinnati"/>
    <x v="58"/>
    <x v="2"/>
  </r>
  <r>
    <s v="B-25241"/>
    <n v="9905"/>
    <n v="9272"/>
    <n v="633"/>
    <n v="17"/>
    <x v="1"/>
    <x v="2"/>
    <x v="2"/>
    <d v="2021-07-18T00:00:00"/>
    <s v="John Munoz"/>
    <x v="4"/>
    <s v="Dallas"/>
    <x v="2"/>
    <x v="2"/>
  </r>
  <r>
    <s v="B-25241"/>
    <n v="9905"/>
    <n v="9272"/>
    <n v="633"/>
    <n v="17"/>
    <x v="1"/>
    <x v="2"/>
    <x v="2"/>
    <d v="2021-10-02T00:00:00"/>
    <s v="David Clark"/>
    <x v="0"/>
    <s v="Tampa"/>
    <x v="4"/>
    <x v="4"/>
  </r>
  <r>
    <s v="B-25044"/>
    <n v="2493"/>
    <n v="1272"/>
    <n v="1221"/>
    <n v="9"/>
    <x v="1"/>
    <x v="8"/>
    <x v="3"/>
    <d v="2024-04-16T00:00:00"/>
    <s v="April Welch"/>
    <x v="1"/>
    <s v="Springfield"/>
    <x v="44"/>
    <x v="11"/>
  </r>
  <r>
    <s v="B-25044"/>
    <n v="9849"/>
    <n v="8886"/>
    <n v="963"/>
    <n v="1"/>
    <x v="1"/>
    <x v="2"/>
    <x v="3"/>
    <d v="2024-04-16T00:00:00"/>
    <s v="April Welch"/>
    <x v="1"/>
    <s v="Springfield"/>
    <x v="44"/>
    <x v="11"/>
  </r>
  <r>
    <s v="B-26137"/>
    <n v="3423"/>
    <n v="2619"/>
    <n v="804"/>
    <n v="4"/>
    <x v="0"/>
    <x v="1"/>
    <x v="3"/>
    <d v="2020-07-09T00:00:00"/>
    <s v="Alan Livingston"/>
    <x v="1"/>
    <s v="Peoria"/>
    <x v="60"/>
    <x v="2"/>
  </r>
  <r>
    <s v="B-26137"/>
    <n v="3423"/>
    <n v="2619"/>
    <n v="804"/>
    <n v="4"/>
    <x v="0"/>
    <x v="1"/>
    <x v="3"/>
    <d v="2020-07-25T00:00:00"/>
    <s v="Angela Jackson"/>
    <x v="4"/>
    <s v="Dallas"/>
    <x v="60"/>
    <x v="2"/>
  </r>
  <r>
    <s v="B-26137"/>
    <n v="3423"/>
    <n v="2619"/>
    <n v="804"/>
    <n v="4"/>
    <x v="0"/>
    <x v="1"/>
    <x v="3"/>
    <d v="2024-01-24T00:00:00"/>
    <s v="Amy Williams"/>
    <x v="4"/>
    <s v="Austin"/>
    <x v="10"/>
    <x v="8"/>
  </r>
  <r>
    <s v="B-26137"/>
    <n v="3423"/>
    <n v="2619"/>
    <n v="804"/>
    <n v="4"/>
    <x v="0"/>
    <x v="1"/>
    <x v="3"/>
    <d v="2020-05-04T00:00:00"/>
    <s v="Laura Jordan"/>
    <x v="4"/>
    <s v="Dallas"/>
    <x v="8"/>
    <x v="3"/>
  </r>
  <r>
    <s v="B-26137"/>
    <n v="3423"/>
    <n v="2619"/>
    <n v="804"/>
    <n v="4"/>
    <x v="0"/>
    <x v="1"/>
    <x v="3"/>
    <d v="2021-11-13T00:00:00"/>
    <s v="Richard Maynard"/>
    <x v="5"/>
    <s v="Cincinnati"/>
    <x v="35"/>
    <x v="5"/>
  </r>
  <r>
    <s v="B-25545"/>
    <n v="3900"/>
    <n v="3785"/>
    <n v="115"/>
    <n v="9"/>
    <x v="2"/>
    <x v="5"/>
    <x v="4"/>
    <d v="2023-10-07T00:00:00"/>
    <s v="Lawrence Oliver"/>
    <x v="1"/>
    <s v="Springfield"/>
    <x v="59"/>
    <x v="4"/>
  </r>
  <r>
    <s v="B-26800"/>
    <n v="8568"/>
    <n v="6149"/>
    <n v="2419"/>
    <n v="11"/>
    <x v="0"/>
    <x v="0"/>
    <x v="0"/>
    <d v="2021-10-23T00:00:00"/>
    <s v="Anthony Williams"/>
    <x v="2"/>
    <s v="Rochester"/>
    <x v="4"/>
    <x v="4"/>
  </r>
  <r>
    <s v="B-26800"/>
    <n v="3283"/>
    <n v="3212"/>
    <n v="71"/>
    <n v="6"/>
    <x v="1"/>
    <x v="2"/>
    <x v="2"/>
    <d v="2021-10-23T00:00:00"/>
    <s v="Anthony Williams"/>
    <x v="2"/>
    <s v="Rochester"/>
    <x v="4"/>
    <x v="4"/>
  </r>
  <r>
    <s v="B-26987"/>
    <n v="7643"/>
    <n v="3923"/>
    <n v="3720"/>
    <n v="19"/>
    <x v="0"/>
    <x v="0"/>
    <x v="2"/>
    <d v="2022-07-18T00:00:00"/>
    <s v="Lynn Matthews"/>
    <x v="4"/>
    <s v="Dallas"/>
    <x v="58"/>
    <x v="2"/>
  </r>
  <r>
    <s v="B-26144"/>
    <n v="3461"/>
    <n v="1924"/>
    <n v="1537"/>
    <n v="15"/>
    <x v="2"/>
    <x v="7"/>
    <x v="2"/>
    <d v="2024-08-23T00:00:00"/>
    <s v="Andrew Griffin"/>
    <x v="1"/>
    <s v="Chicago"/>
    <x v="19"/>
    <x v="9"/>
  </r>
  <r>
    <s v="B-26144"/>
    <n v="5714"/>
    <n v="4276"/>
    <n v="1438"/>
    <n v="6"/>
    <x v="0"/>
    <x v="0"/>
    <x v="3"/>
    <d v="2024-08-23T00:00:00"/>
    <s v="Andrew Griffin"/>
    <x v="1"/>
    <s v="Chicago"/>
    <x v="19"/>
    <x v="9"/>
  </r>
  <r>
    <s v="B-26144"/>
    <n v="3853"/>
    <n v="2396"/>
    <n v="1457"/>
    <n v="10"/>
    <x v="1"/>
    <x v="9"/>
    <x v="4"/>
    <d v="2024-08-23T00:00:00"/>
    <s v="Andrew Griffin"/>
    <x v="1"/>
    <s v="Chicago"/>
    <x v="19"/>
    <x v="9"/>
  </r>
  <r>
    <s v="B-25406"/>
    <n v="6016"/>
    <n v="5585"/>
    <n v="431"/>
    <n v="20"/>
    <x v="1"/>
    <x v="2"/>
    <x v="0"/>
    <d v="2020-10-28T00:00:00"/>
    <s v="Megan Williams"/>
    <x v="1"/>
    <s v="Chicago"/>
    <x v="20"/>
    <x v="4"/>
  </r>
  <r>
    <s v="B-25658"/>
    <n v="1290"/>
    <n v="1086"/>
    <n v="204"/>
    <n v="12"/>
    <x v="1"/>
    <x v="6"/>
    <x v="0"/>
    <d v="2024-06-15T00:00:00"/>
    <s v="Alison Martin"/>
    <x v="2"/>
    <s v="Buffalo"/>
    <x v="47"/>
    <x v="0"/>
  </r>
  <r>
    <s v="B-25658"/>
    <n v="1290"/>
    <n v="1086"/>
    <n v="204"/>
    <n v="12"/>
    <x v="1"/>
    <x v="6"/>
    <x v="0"/>
    <d v="2024-12-19T00:00:00"/>
    <s v="Samuel Wallace"/>
    <x v="3"/>
    <s v="San Francisco"/>
    <x v="1"/>
    <x v="1"/>
  </r>
  <r>
    <s v="B-25733"/>
    <n v="4569"/>
    <n v="2876"/>
    <n v="1693"/>
    <n v="10"/>
    <x v="0"/>
    <x v="1"/>
    <x v="0"/>
    <d v="2020-09-04T00:00:00"/>
    <s v="Manuel Stark"/>
    <x v="1"/>
    <s v="Springfield"/>
    <x v="57"/>
    <x v="10"/>
  </r>
  <r>
    <s v="B-26993"/>
    <n v="3083"/>
    <n v="1932"/>
    <n v="1151"/>
    <n v="16"/>
    <x v="2"/>
    <x v="11"/>
    <x v="1"/>
    <d v="2022-04-16T00:00:00"/>
    <s v="William Villarreal"/>
    <x v="0"/>
    <s v="Orlando"/>
    <x v="39"/>
    <x v="11"/>
  </r>
  <r>
    <s v="B-26964"/>
    <n v="3522"/>
    <n v="2624"/>
    <n v="898"/>
    <n v="15"/>
    <x v="1"/>
    <x v="2"/>
    <x v="3"/>
    <d v="2024-08-29T00:00:00"/>
    <s v="Brandon Kirk"/>
    <x v="5"/>
    <s v="Cleveland"/>
    <x v="19"/>
    <x v="9"/>
  </r>
  <r>
    <s v="B-26964"/>
    <n v="3522"/>
    <n v="2624"/>
    <n v="898"/>
    <n v="15"/>
    <x v="1"/>
    <x v="2"/>
    <x v="3"/>
    <d v="2022-01-14T00:00:00"/>
    <s v="Abigail Brown"/>
    <x v="3"/>
    <s v="Los Angeles"/>
    <x v="12"/>
    <x v="8"/>
  </r>
  <r>
    <s v="B-26955"/>
    <n v="7301"/>
    <n v="3699"/>
    <n v="3602"/>
    <n v="3"/>
    <x v="1"/>
    <x v="9"/>
    <x v="1"/>
    <d v="2024-04-07T00:00:00"/>
    <s v="Kristine Carter"/>
    <x v="4"/>
    <s v="Houston"/>
    <x v="44"/>
    <x v="11"/>
  </r>
  <r>
    <s v="B-26059"/>
    <n v="4462"/>
    <n v="4341"/>
    <n v="121"/>
    <n v="8"/>
    <x v="0"/>
    <x v="3"/>
    <x v="4"/>
    <d v="2022-04-24T00:00:00"/>
    <s v="Wesley Deleon"/>
    <x v="1"/>
    <s v="Springfield"/>
    <x v="39"/>
    <x v="11"/>
  </r>
  <r>
    <s v="B-26059"/>
    <n v="6212"/>
    <n v="4331"/>
    <n v="1881"/>
    <n v="17"/>
    <x v="0"/>
    <x v="10"/>
    <x v="4"/>
    <d v="2022-04-24T00:00:00"/>
    <s v="Wesley Deleon"/>
    <x v="1"/>
    <s v="Springfield"/>
    <x v="39"/>
    <x v="11"/>
  </r>
  <r>
    <s v="B-26806"/>
    <n v="4027"/>
    <n v="2641"/>
    <n v="1386"/>
    <n v="3"/>
    <x v="2"/>
    <x v="11"/>
    <x v="2"/>
    <d v="2020-08-27T00:00:00"/>
    <s v="Laura Cole"/>
    <x v="0"/>
    <s v="Tampa"/>
    <x v="38"/>
    <x v="9"/>
  </r>
  <r>
    <s v="B-26299"/>
    <n v="1676"/>
    <n v="1346"/>
    <n v="330"/>
    <n v="14"/>
    <x v="0"/>
    <x v="3"/>
    <x v="2"/>
    <d v="2023-03-01T00:00:00"/>
    <s v="Lauren Harris"/>
    <x v="5"/>
    <s v="Cleveland"/>
    <x v="45"/>
    <x v="6"/>
  </r>
  <r>
    <s v="B-26299"/>
    <n v="3927"/>
    <n v="2794"/>
    <n v="1133"/>
    <n v="12"/>
    <x v="2"/>
    <x v="11"/>
    <x v="4"/>
    <d v="2023-03-01T00:00:00"/>
    <s v="Lauren Harris"/>
    <x v="5"/>
    <s v="Cleveland"/>
    <x v="45"/>
    <x v="6"/>
  </r>
  <r>
    <s v="B-26299"/>
    <n v="2776"/>
    <n v="1889"/>
    <n v="887"/>
    <n v="9"/>
    <x v="0"/>
    <x v="10"/>
    <x v="1"/>
    <d v="2023-03-01T00:00:00"/>
    <s v="Lauren Harris"/>
    <x v="5"/>
    <s v="Cleveland"/>
    <x v="45"/>
    <x v="6"/>
  </r>
  <r>
    <s v="B-26743"/>
    <n v="7684"/>
    <n v="6527"/>
    <n v="1157"/>
    <n v="12"/>
    <x v="2"/>
    <x v="7"/>
    <x v="4"/>
    <d v="2020-10-02T00:00:00"/>
    <s v="Cameron Miller"/>
    <x v="1"/>
    <s v="Chicago"/>
    <x v="20"/>
    <x v="4"/>
  </r>
  <r>
    <s v="B-26743"/>
    <n v="7684"/>
    <n v="6527"/>
    <n v="1157"/>
    <n v="12"/>
    <x v="2"/>
    <x v="7"/>
    <x v="4"/>
    <d v="2020-06-23T00:00:00"/>
    <s v="Jacob Carpenter"/>
    <x v="2"/>
    <s v="Buffalo"/>
    <x v="53"/>
    <x v="0"/>
  </r>
  <r>
    <s v="B-26743"/>
    <n v="7684"/>
    <n v="6527"/>
    <n v="1157"/>
    <n v="12"/>
    <x v="2"/>
    <x v="7"/>
    <x v="4"/>
    <d v="2023-08-21T00:00:00"/>
    <s v="Pamela Callahan DVM"/>
    <x v="5"/>
    <s v="Columbus"/>
    <x v="21"/>
    <x v="9"/>
  </r>
  <r>
    <s v="B-26757"/>
    <n v="6008"/>
    <n v="3510"/>
    <n v="2498"/>
    <n v="17"/>
    <x v="0"/>
    <x v="10"/>
    <x v="3"/>
    <d v="2022-07-16T00:00:00"/>
    <s v="William Ruiz"/>
    <x v="0"/>
    <s v="Miami"/>
    <x v="58"/>
    <x v="2"/>
  </r>
  <r>
    <s v="B-26772"/>
    <n v="7344"/>
    <n v="4746"/>
    <n v="2598"/>
    <n v="20"/>
    <x v="2"/>
    <x v="11"/>
    <x v="4"/>
    <d v="2022-08-01T00:00:00"/>
    <s v="Paula Marshall"/>
    <x v="4"/>
    <s v="Dallas"/>
    <x v="40"/>
    <x v="9"/>
  </r>
  <r>
    <s v="B-26088"/>
    <n v="6932"/>
    <n v="3714"/>
    <n v="3218"/>
    <n v="20"/>
    <x v="1"/>
    <x v="2"/>
    <x v="4"/>
    <d v="2020-07-16T00:00:00"/>
    <s v="Natalie Cox"/>
    <x v="0"/>
    <s v="Orlando"/>
    <x v="60"/>
    <x v="2"/>
  </r>
  <r>
    <s v="B-26319"/>
    <n v="7748"/>
    <n v="6042"/>
    <n v="1706"/>
    <n v="16"/>
    <x v="0"/>
    <x v="0"/>
    <x v="2"/>
    <d v="2020-05-02T00:00:00"/>
    <s v="Andrew Fernandez"/>
    <x v="5"/>
    <s v="Cincinnati"/>
    <x v="8"/>
    <x v="3"/>
  </r>
  <r>
    <s v="B-26319"/>
    <n v="6381"/>
    <n v="3618"/>
    <n v="2763"/>
    <n v="20"/>
    <x v="1"/>
    <x v="6"/>
    <x v="0"/>
    <d v="2020-05-02T00:00:00"/>
    <s v="Andrew Fernandez"/>
    <x v="5"/>
    <s v="Cincinnati"/>
    <x v="8"/>
    <x v="3"/>
  </r>
  <r>
    <s v="B-26319"/>
    <n v="992"/>
    <n v="928"/>
    <n v="64"/>
    <n v="6"/>
    <x v="0"/>
    <x v="10"/>
    <x v="3"/>
    <d v="2020-05-02T00:00:00"/>
    <s v="Andrew Fernandez"/>
    <x v="5"/>
    <s v="Cincinnati"/>
    <x v="8"/>
    <x v="3"/>
  </r>
  <r>
    <s v="B-25364"/>
    <n v="8649"/>
    <n v="6018"/>
    <n v="2631"/>
    <n v="13"/>
    <x v="0"/>
    <x v="3"/>
    <x v="2"/>
    <d v="2024-01-10T00:00:00"/>
    <s v="Alisha Saunders"/>
    <x v="3"/>
    <s v="San Francisco"/>
    <x v="10"/>
    <x v="8"/>
  </r>
  <r>
    <s v="B-25364"/>
    <n v="8649"/>
    <n v="6018"/>
    <n v="2631"/>
    <n v="13"/>
    <x v="0"/>
    <x v="3"/>
    <x v="2"/>
    <d v="2020-09-30T00:00:00"/>
    <s v="Travis Chandler DDS"/>
    <x v="2"/>
    <s v="Rochester"/>
    <x v="57"/>
    <x v="10"/>
  </r>
  <r>
    <s v="B-25655"/>
    <n v="4099"/>
    <n v="4047"/>
    <n v="52"/>
    <n v="18"/>
    <x v="0"/>
    <x v="3"/>
    <x v="0"/>
    <d v="2022-03-28T00:00:00"/>
    <s v="Russell Austin"/>
    <x v="2"/>
    <s v="New York City"/>
    <x v="25"/>
    <x v="6"/>
  </r>
  <r>
    <s v="B-26864"/>
    <n v="2539"/>
    <n v="2215"/>
    <n v="324"/>
    <n v="5"/>
    <x v="0"/>
    <x v="0"/>
    <x v="0"/>
    <d v="2021-01-30T00:00:00"/>
    <s v="Collin Cameron"/>
    <x v="3"/>
    <s v="San Francisco"/>
    <x v="49"/>
    <x v="8"/>
  </r>
  <r>
    <s v="B-26019"/>
    <n v="9845"/>
    <n v="6783"/>
    <n v="3062"/>
    <n v="9"/>
    <x v="1"/>
    <x v="8"/>
    <x v="4"/>
    <d v="2025-03-14T00:00:00"/>
    <s v="Elizabeth Hernandez"/>
    <x v="0"/>
    <s v="Orlando"/>
    <x v="30"/>
    <x v="6"/>
  </r>
  <r>
    <s v="B-25849"/>
    <n v="2901"/>
    <n v="1490"/>
    <n v="1411"/>
    <n v="2"/>
    <x v="1"/>
    <x v="8"/>
    <x v="1"/>
    <d v="2021-10-26T00:00:00"/>
    <s v="William Russell"/>
    <x v="4"/>
    <s v="Austin"/>
    <x v="4"/>
    <x v="4"/>
  </r>
  <r>
    <s v="B-25849"/>
    <n v="2901"/>
    <n v="1490"/>
    <n v="1411"/>
    <n v="2"/>
    <x v="1"/>
    <x v="8"/>
    <x v="1"/>
    <d v="2023-01-11T00:00:00"/>
    <s v="Sheri Berg"/>
    <x v="3"/>
    <s v="Los Angeles"/>
    <x v="54"/>
    <x v="8"/>
  </r>
  <r>
    <s v="B-25849"/>
    <n v="6934"/>
    <n v="5782"/>
    <n v="1152"/>
    <n v="6"/>
    <x v="1"/>
    <x v="2"/>
    <x v="3"/>
    <d v="2021-10-26T00:00:00"/>
    <s v="William Russell"/>
    <x v="4"/>
    <s v="Austin"/>
    <x v="4"/>
    <x v="4"/>
  </r>
  <r>
    <s v="B-25849"/>
    <n v="6934"/>
    <n v="5782"/>
    <n v="1152"/>
    <n v="6"/>
    <x v="1"/>
    <x v="2"/>
    <x v="3"/>
    <d v="2023-01-11T00:00:00"/>
    <s v="Sheri Berg"/>
    <x v="3"/>
    <s v="Los Angeles"/>
    <x v="54"/>
    <x v="8"/>
  </r>
  <r>
    <s v="B-25829"/>
    <n v="9640"/>
    <n v="7034"/>
    <n v="2606"/>
    <n v="2"/>
    <x v="2"/>
    <x v="11"/>
    <x v="3"/>
    <d v="2021-10-31T00:00:00"/>
    <s v="Anthony Barnett"/>
    <x v="1"/>
    <s v="Peoria"/>
    <x v="4"/>
    <x v="4"/>
  </r>
  <r>
    <s v="B-26065"/>
    <n v="7930"/>
    <n v="5949"/>
    <n v="1981"/>
    <n v="13"/>
    <x v="2"/>
    <x v="5"/>
    <x v="3"/>
    <d v="2023-05-04T00:00:00"/>
    <s v="Kaitlyn Flores"/>
    <x v="5"/>
    <s v="Cleveland"/>
    <x v="23"/>
    <x v="3"/>
  </r>
  <r>
    <s v="B-26065"/>
    <n v="7930"/>
    <n v="5949"/>
    <n v="1981"/>
    <n v="13"/>
    <x v="2"/>
    <x v="5"/>
    <x v="3"/>
    <d v="2024-08-09T00:00:00"/>
    <s v="Rebecca Owen"/>
    <x v="1"/>
    <s v="Springfield"/>
    <x v="19"/>
    <x v="9"/>
  </r>
  <r>
    <s v="B-25267"/>
    <n v="9894"/>
    <n v="9065"/>
    <n v="829"/>
    <n v="1"/>
    <x v="1"/>
    <x v="9"/>
    <x v="4"/>
    <d v="2022-08-21T00:00:00"/>
    <s v="Michael Bell"/>
    <x v="3"/>
    <s v="San Diego"/>
    <x v="40"/>
    <x v="9"/>
  </r>
  <r>
    <s v="B-25267"/>
    <n v="4534"/>
    <n v="2299"/>
    <n v="2235"/>
    <n v="4"/>
    <x v="2"/>
    <x v="4"/>
    <x v="4"/>
    <d v="2022-08-21T00:00:00"/>
    <s v="Michael Bell"/>
    <x v="3"/>
    <s v="San Diego"/>
    <x v="40"/>
    <x v="9"/>
  </r>
  <r>
    <s v="B-25972"/>
    <n v="4911"/>
    <n v="4725"/>
    <n v="186"/>
    <n v="20"/>
    <x v="0"/>
    <x v="10"/>
    <x v="1"/>
    <d v="2022-06-19T00:00:00"/>
    <s v="Willie Huynh"/>
    <x v="2"/>
    <s v="Buffalo"/>
    <x v="33"/>
    <x v="0"/>
  </r>
  <r>
    <s v="B-25972"/>
    <n v="531"/>
    <n v="342"/>
    <n v="189"/>
    <n v="20"/>
    <x v="2"/>
    <x v="11"/>
    <x v="1"/>
    <d v="2022-06-19T00:00:00"/>
    <s v="Willie Huynh"/>
    <x v="2"/>
    <s v="Buffalo"/>
    <x v="33"/>
    <x v="0"/>
  </r>
  <r>
    <s v="B-25511"/>
    <n v="9707"/>
    <n v="6224"/>
    <n v="3483"/>
    <n v="10"/>
    <x v="0"/>
    <x v="0"/>
    <x v="2"/>
    <d v="2025-01-29T00:00:00"/>
    <s v="Samuel Hayes"/>
    <x v="1"/>
    <s v="Peoria"/>
    <x v="52"/>
    <x v="8"/>
  </r>
  <r>
    <s v="B-25511"/>
    <n v="8521"/>
    <n v="5937"/>
    <n v="2584"/>
    <n v="7"/>
    <x v="1"/>
    <x v="8"/>
    <x v="4"/>
    <d v="2025-01-29T00:00:00"/>
    <s v="Samuel Hayes"/>
    <x v="1"/>
    <s v="Peoria"/>
    <x v="52"/>
    <x v="8"/>
  </r>
  <r>
    <s v="B-25744"/>
    <n v="8438"/>
    <n v="5011"/>
    <n v="3427"/>
    <n v="12"/>
    <x v="1"/>
    <x v="9"/>
    <x v="3"/>
    <d v="2022-01-14T00:00:00"/>
    <s v="Sherry Tran"/>
    <x v="2"/>
    <s v="Buffalo"/>
    <x v="12"/>
    <x v="8"/>
  </r>
  <r>
    <s v="B-25744"/>
    <n v="1689"/>
    <n v="1580"/>
    <n v="109"/>
    <n v="9"/>
    <x v="0"/>
    <x v="0"/>
    <x v="0"/>
    <d v="2022-01-14T00:00:00"/>
    <s v="Sherry Tran"/>
    <x v="2"/>
    <s v="Buffalo"/>
    <x v="12"/>
    <x v="8"/>
  </r>
  <r>
    <s v="B-25744"/>
    <n v="3936"/>
    <n v="2310"/>
    <n v="1626"/>
    <n v="14"/>
    <x v="1"/>
    <x v="8"/>
    <x v="4"/>
    <d v="2022-01-14T00:00:00"/>
    <s v="Sherry Tran"/>
    <x v="2"/>
    <s v="Buffalo"/>
    <x v="12"/>
    <x v="8"/>
  </r>
  <r>
    <s v="B-26805"/>
    <n v="7664"/>
    <n v="5911"/>
    <n v="1753"/>
    <n v="19"/>
    <x v="0"/>
    <x v="10"/>
    <x v="1"/>
    <d v="2023-06-15T00:00:00"/>
    <s v="Heather Gray"/>
    <x v="5"/>
    <s v="Cincinnati"/>
    <x v="0"/>
    <x v="0"/>
  </r>
  <r>
    <s v="B-25620"/>
    <n v="721"/>
    <n v="463"/>
    <n v="258"/>
    <n v="13"/>
    <x v="0"/>
    <x v="3"/>
    <x v="1"/>
    <d v="2023-10-18T00:00:00"/>
    <s v="Benjamin Meadows"/>
    <x v="1"/>
    <s v="Peoria"/>
    <x v="59"/>
    <x v="4"/>
  </r>
  <r>
    <s v="B-25620"/>
    <n v="721"/>
    <n v="463"/>
    <n v="258"/>
    <n v="13"/>
    <x v="0"/>
    <x v="3"/>
    <x v="1"/>
    <d v="2022-06-13T00:00:00"/>
    <s v="Micheal Graham"/>
    <x v="2"/>
    <s v="Buffalo"/>
    <x v="33"/>
    <x v="0"/>
  </r>
  <r>
    <s v="B-25620"/>
    <n v="8364"/>
    <n v="5309"/>
    <n v="3055"/>
    <n v="17"/>
    <x v="0"/>
    <x v="3"/>
    <x v="3"/>
    <d v="2023-10-18T00:00:00"/>
    <s v="Benjamin Meadows"/>
    <x v="1"/>
    <s v="Peoria"/>
    <x v="59"/>
    <x v="4"/>
  </r>
  <r>
    <s v="B-25620"/>
    <n v="8364"/>
    <n v="5309"/>
    <n v="3055"/>
    <n v="17"/>
    <x v="0"/>
    <x v="3"/>
    <x v="3"/>
    <d v="2022-06-13T00:00:00"/>
    <s v="Micheal Graham"/>
    <x v="2"/>
    <s v="Buffalo"/>
    <x v="33"/>
    <x v="0"/>
  </r>
  <r>
    <s v="B-25620"/>
    <n v="5234"/>
    <n v="3213"/>
    <n v="2021"/>
    <n v="15"/>
    <x v="2"/>
    <x v="11"/>
    <x v="2"/>
    <d v="2023-10-18T00:00:00"/>
    <s v="Benjamin Meadows"/>
    <x v="1"/>
    <s v="Peoria"/>
    <x v="59"/>
    <x v="4"/>
  </r>
  <r>
    <s v="B-25620"/>
    <n v="5234"/>
    <n v="3213"/>
    <n v="2021"/>
    <n v="15"/>
    <x v="2"/>
    <x v="11"/>
    <x v="2"/>
    <d v="2022-06-13T00:00:00"/>
    <s v="Micheal Graham"/>
    <x v="2"/>
    <s v="Buffalo"/>
    <x v="33"/>
    <x v="0"/>
  </r>
  <r>
    <s v="B-25325"/>
    <n v="3944"/>
    <n v="2385"/>
    <n v="1559"/>
    <n v="18"/>
    <x v="0"/>
    <x v="10"/>
    <x v="3"/>
    <d v="2024-06-12T00:00:00"/>
    <s v="Jean Jackson"/>
    <x v="3"/>
    <s v="San Francisco"/>
    <x v="47"/>
    <x v="0"/>
  </r>
  <r>
    <s v="B-25325"/>
    <n v="6711"/>
    <n v="5666"/>
    <n v="1045"/>
    <n v="12"/>
    <x v="1"/>
    <x v="2"/>
    <x v="3"/>
    <d v="2024-06-12T00:00:00"/>
    <s v="Jean Jackson"/>
    <x v="3"/>
    <s v="San Francisco"/>
    <x v="47"/>
    <x v="0"/>
  </r>
  <r>
    <s v="B-25325"/>
    <n v="5031"/>
    <n v="4317"/>
    <n v="714"/>
    <n v="4"/>
    <x v="2"/>
    <x v="4"/>
    <x v="3"/>
    <d v="2024-06-12T00:00:00"/>
    <s v="Jean Jackson"/>
    <x v="3"/>
    <s v="San Francisco"/>
    <x v="47"/>
    <x v="0"/>
  </r>
  <r>
    <s v="B-25325"/>
    <n v="6295"/>
    <n v="3826"/>
    <n v="2469"/>
    <n v="14"/>
    <x v="1"/>
    <x v="9"/>
    <x v="2"/>
    <d v="2024-06-12T00:00:00"/>
    <s v="Jean Jackson"/>
    <x v="3"/>
    <s v="San Francisco"/>
    <x v="47"/>
    <x v="0"/>
  </r>
  <r>
    <s v="B-25131"/>
    <n v="9654"/>
    <n v="5543"/>
    <n v="4111"/>
    <n v="1"/>
    <x v="1"/>
    <x v="8"/>
    <x v="0"/>
    <d v="2022-06-27T00:00:00"/>
    <s v="Timothy Murphy"/>
    <x v="3"/>
    <s v="San Francisco"/>
    <x v="33"/>
    <x v="0"/>
  </r>
  <r>
    <s v="B-25131"/>
    <n v="3112"/>
    <n v="2047"/>
    <n v="1065"/>
    <n v="20"/>
    <x v="1"/>
    <x v="9"/>
    <x v="4"/>
    <d v="2022-06-27T00:00:00"/>
    <s v="Timothy Murphy"/>
    <x v="3"/>
    <s v="San Francisco"/>
    <x v="33"/>
    <x v="0"/>
  </r>
  <r>
    <s v="B-26654"/>
    <n v="7838"/>
    <n v="6696"/>
    <n v="1142"/>
    <n v="13"/>
    <x v="0"/>
    <x v="10"/>
    <x v="0"/>
    <d v="2021-02-18T00:00:00"/>
    <s v="Mrs. Jennifer Lewis"/>
    <x v="3"/>
    <s v="San Francisco"/>
    <x v="51"/>
    <x v="7"/>
  </r>
  <r>
    <s v="B-26654"/>
    <n v="9300"/>
    <n v="6154"/>
    <n v="3146"/>
    <n v="6"/>
    <x v="0"/>
    <x v="10"/>
    <x v="3"/>
    <d v="2021-02-18T00:00:00"/>
    <s v="Mrs. Jennifer Lewis"/>
    <x v="3"/>
    <s v="San Francisco"/>
    <x v="51"/>
    <x v="7"/>
  </r>
  <r>
    <s v="B-26654"/>
    <n v="1733"/>
    <n v="1600"/>
    <n v="133"/>
    <n v="17"/>
    <x v="1"/>
    <x v="8"/>
    <x v="1"/>
    <d v="2021-02-18T00:00:00"/>
    <s v="Mrs. Jennifer Lewis"/>
    <x v="3"/>
    <s v="San Francisco"/>
    <x v="51"/>
    <x v="7"/>
  </r>
  <r>
    <s v="B-26195"/>
    <n v="874"/>
    <n v="639"/>
    <n v="235"/>
    <n v="15"/>
    <x v="1"/>
    <x v="9"/>
    <x v="1"/>
    <d v="2023-05-29T00:00:00"/>
    <s v="Bryan Brown"/>
    <x v="2"/>
    <s v="Rochester"/>
    <x v="23"/>
    <x v="3"/>
  </r>
  <r>
    <s v="B-26195"/>
    <n v="874"/>
    <n v="639"/>
    <n v="235"/>
    <n v="15"/>
    <x v="1"/>
    <x v="9"/>
    <x v="1"/>
    <d v="2021-06-04T00:00:00"/>
    <s v="Christopher Johnson"/>
    <x v="0"/>
    <s v="Miami"/>
    <x v="22"/>
    <x v="0"/>
  </r>
  <r>
    <s v="B-25842"/>
    <n v="1248"/>
    <n v="664"/>
    <n v="584"/>
    <n v="13"/>
    <x v="1"/>
    <x v="2"/>
    <x v="2"/>
    <d v="2024-01-22T00:00:00"/>
    <s v="Christina Conner"/>
    <x v="5"/>
    <s v="Columbus"/>
    <x v="10"/>
    <x v="8"/>
  </r>
  <r>
    <s v="B-25842"/>
    <n v="1248"/>
    <n v="664"/>
    <n v="584"/>
    <n v="13"/>
    <x v="1"/>
    <x v="2"/>
    <x v="2"/>
    <d v="2022-12-27T00:00:00"/>
    <s v="Luis Luna"/>
    <x v="3"/>
    <s v="San Francisco"/>
    <x v="29"/>
    <x v="1"/>
  </r>
  <r>
    <s v="B-25842"/>
    <n v="3669"/>
    <n v="3515"/>
    <n v="154"/>
    <n v="14"/>
    <x v="1"/>
    <x v="6"/>
    <x v="2"/>
    <d v="2024-01-22T00:00:00"/>
    <s v="Christina Conner"/>
    <x v="5"/>
    <s v="Columbus"/>
    <x v="10"/>
    <x v="8"/>
  </r>
  <r>
    <s v="B-25842"/>
    <n v="3669"/>
    <n v="3515"/>
    <n v="154"/>
    <n v="14"/>
    <x v="1"/>
    <x v="6"/>
    <x v="2"/>
    <d v="2022-12-27T00:00:00"/>
    <s v="Luis Luna"/>
    <x v="3"/>
    <s v="San Francisco"/>
    <x v="29"/>
    <x v="1"/>
  </r>
  <r>
    <s v="B-25842"/>
    <n v="514"/>
    <n v="405"/>
    <n v="109"/>
    <n v="15"/>
    <x v="1"/>
    <x v="8"/>
    <x v="1"/>
    <d v="2024-01-22T00:00:00"/>
    <s v="Christina Conner"/>
    <x v="5"/>
    <s v="Columbus"/>
    <x v="10"/>
    <x v="8"/>
  </r>
  <r>
    <s v="B-25842"/>
    <n v="514"/>
    <n v="405"/>
    <n v="109"/>
    <n v="15"/>
    <x v="1"/>
    <x v="8"/>
    <x v="1"/>
    <d v="2022-12-27T00:00:00"/>
    <s v="Luis Luna"/>
    <x v="3"/>
    <s v="San Francisco"/>
    <x v="29"/>
    <x v="1"/>
  </r>
  <r>
    <s v="B-25851"/>
    <n v="3273"/>
    <n v="3188"/>
    <n v="85"/>
    <n v="16"/>
    <x v="0"/>
    <x v="10"/>
    <x v="0"/>
    <d v="2024-03-30T00:00:00"/>
    <s v="Julie Chavez"/>
    <x v="5"/>
    <s v="Cincinnati"/>
    <x v="55"/>
    <x v="6"/>
  </r>
  <r>
    <s v="B-25427"/>
    <n v="5035"/>
    <n v="3027"/>
    <n v="2008"/>
    <n v="2"/>
    <x v="2"/>
    <x v="5"/>
    <x v="4"/>
    <d v="2020-04-04T00:00:00"/>
    <s v="Richard Blair"/>
    <x v="0"/>
    <s v="Miami"/>
    <x v="32"/>
    <x v="11"/>
  </r>
  <r>
    <s v="B-25427"/>
    <n v="7702"/>
    <n v="7642"/>
    <n v="60"/>
    <n v="19"/>
    <x v="0"/>
    <x v="1"/>
    <x v="0"/>
    <d v="2020-04-04T00:00:00"/>
    <s v="Richard Blair"/>
    <x v="0"/>
    <s v="Miami"/>
    <x v="32"/>
    <x v="11"/>
  </r>
  <r>
    <s v="B-25427"/>
    <n v="9884"/>
    <n v="5438"/>
    <n v="4446"/>
    <n v="7"/>
    <x v="0"/>
    <x v="1"/>
    <x v="2"/>
    <d v="2020-04-04T00:00:00"/>
    <s v="Richard Blair"/>
    <x v="0"/>
    <s v="Miami"/>
    <x v="32"/>
    <x v="11"/>
  </r>
  <r>
    <s v="B-26224"/>
    <n v="5564"/>
    <n v="5389"/>
    <n v="175"/>
    <n v="11"/>
    <x v="0"/>
    <x v="3"/>
    <x v="4"/>
    <d v="2023-01-22T00:00:00"/>
    <s v="Mitchell Lester"/>
    <x v="1"/>
    <s v="Chicago"/>
    <x v="54"/>
    <x v="8"/>
  </r>
  <r>
    <s v="B-26224"/>
    <n v="5564"/>
    <n v="5389"/>
    <n v="175"/>
    <n v="11"/>
    <x v="0"/>
    <x v="3"/>
    <x v="4"/>
    <d v="2022-04-12T00:00:00"/>
    <s v="Mr. John Tyler PhD"/>
    <x v="4"/>
    <s v="Houston"/>
    <x v="39"/>
    <x v="11"/>
  </r>
  <r>
    <s v="B-26224"/>
    <n v="5564"/>
    <n v="5389"/>
    <n v="175"/>
    <n v="11"/>
    <x v="0"/>
    <x v="3"/>
    <x v="4"/>
    <d v="2023-12-13T00:00:00"/>
    <s v="Juan Kelly"/>
    <x v="0"/>
    <s v="Miami"/>
    <x v="16"/>
    <x v="1"/>
  </r>
  <r>
    <s v="B-26224"/>
    <n v="3953"/>
    <n v="2177"/>
    <n v="1776"/>
    <n v="15"/>
    <x v="0"/>
    <x v="0"/>
    <x v="0"/>
    <d v="2023-01-22T00:00:00"/>
    <s v="Mitchell Lester"/>
    <x v="1"/>
    <s v="Chicago"/>
    <x v="54"/>
    <x v="8"/>
  </r>
  <r>
    <s v="B-26224"/>
    <n v="3953"/>
    <n v="2177"/>
    <n v="1776"/>
    <n v="15"/>
    <x v="0"/>
    <x v="0"/>
    <x v="0"/>
    <d v="2022-04-12T00:00:00"/>
    <s v="Mr. John Tyler PhD"/>
    <x v="4"/>
    <s v="Houston"/>
    <x v="39"/>
    <x v="11"/>
  </r>
  <r>
    <s v="B-26224"/>
    <n v="3953"/>
    <n v="2177"/>
    <n v="1776"/>
    <n v="15"/>
    <x v="0"/>
    <x v="0"/>
    <x v="0"/>
    <d v="2023-12-13T00:00:00"/>
    <s v="Juan Kelly"/>
    <x v="0"/>
    <s v="Miami"/>
    <x v="16"/>
    <x v="1"/>
  </r>
  <r>
    <s v="B-26896"/>
    <n v="6488"/>
    <n v="4897"/>
    <n v="1591"/>
    <n v="18"/>
    <x v="0"/>
    <x v="1"/>
    <x v="2"/>
    <d v="2023-05-24T00:00:00"/>
    <s v="Morgan Mccarthy"/>
    <x v="4"/>
    <s v="Dallas"/>
    <x v="23"/>
    <x v="3"/>
  </r>
  <r>
    <s v="B-26896"/>
    <n v="6488"/>
    <n v="4897"/>
    <n v="1591"/>
    <n v="18"/>
    <x v="0"/>
    <x v="1"/>
    <x v="2"/>
    <d v="2020-11-29T00:00:00"/>
    <s v="Morgan Sullivan"/>
    <x v="4"/>
    <s v="Houston"/>
    <x v="11"/>
    <x v="5"/>
  </r>
  <r>
    <s v="B-26469"/>
    <n v="7856"/>
    <n v="4157"/>
    <n v="3699"/>
    <n v="17"/>
    <x v="0"/>
    <x v="0"/>
    <x v="0"/>
    <d v="2021-03-24T00:00:00"/>
    <s v="Eric Clark"/>
    <x v="0"/>
    <s v="Orlando"/>
    <x v="34"/>
    <x v="6"/>
  </r>
  <r>
    <s v="B-26469"/>
    <n v="1165"/>
    <n v="1114"/>
    <n v="51"/>
    <n v="3"/>
    <x v="1"/>
    <x v="2"/>
    <x v="2"/>
    <d v="2021-03-24T00:00:00"/>
    <s v="Eric Clark"/>
    <x v="0"/>
    <s v="Orlando"/>
    <x v="34"/>
    <x v="6"/>
  </r>
  <r>
    <s v="B-26219"/>
    <n v="9386"/>
    <n v="6831"/>
    <n v="2555"/>
    <n v="20"/>
    <x v="1"/>
    <x v="6"/>
    <x v="3"/>
    <d v="2020-08-19T00:00:00"/>
    <s v="Mark Padilla"/>
    <x v="3"/>
    <s v="San Diego"/>
    <x v="38"/>
    <x v="9"/>
  </r>
  <r>
    <s v="B-26219"/>
    <n v="9386"/>
    <n v="6831"/>
    <n v="2555"/>
    <n v="20"/>
    <x v="1"/>
    <x v="6"/>
    <x v="3"/>
    <d v="2022-10-20T00:00:00"/>
    <s v="Anthony Lane"/>
    <x v="5"/>
    <s v="Cleveland"/>
    <x v="15"/>
    <x v="4"/>
  </r>
  <r>
    <s v="B-26119"/>
    <n v="3956"/>
    <n v="3814"/>
    <n v="142"/>
    <n v="12"/>
    <x v="1"/>
    <x v="2"/>
    <x v="1"/>
    <d v="2023-09-20T00:00:00"/>
    <s v="Jeffrey Henderson"/>
    <x v="0"/>
    <s v="Tampa"/>
    <x v="48"/>
    <x v="10"/>
  </r>
  <r>
    <s v="B-26119"/>
    <n v="3956"/>
    <n v="3814"/>
    <n v="142"/>
    <n v="12"/>
    <x v="1"/>
    <x v="2"/>
    <x v="1"/>
    <d v="2024-12-26T00:00:00"/>
    <s v="Michelle Hardy"/>
    <x v="4"/>
    <s v="Dallas"/>
    <x v="1"/>
    <x v="1"/>
  </r>
  <r>
    <s v="B-26119"/>
    <n v="6449"/>
    <n v="3821"/>
    <n v="2628"/>
    <n v="11"/>
    <x v="2"/>
    <x v="11"/>
    <x v="2"/>
    <d v="2023-09-20T00:00:00"/>
    <s v="Jeffrey Henderson"/>
    <x v="0"/>
    <s v="Tampa"/>
    <x v="48"/>
    <x v="10"/>
  </r>
  <r>
    <s v="B-26119"/>
    <n v="6449"/>
    <n v="3821"/>
    <n v="2628"/>
    <n v="11"/>
    <x v="2"/>
    <x v="11"/>
    <x v="2"/>
    <d v="2024-12-26T00:00:00"/>
    <s v="Michelle Hardy"/>
    <x v="4"/>
    <s v="Dallas"/>
    <x v="1"/>
    <x v="1"/>
  </r>
  <r>
    <s v="B-26988"/>
    <n v="6255"/>
    <n v="5818"/>
    <n v="437"/>
    <n v="18"/>
    <x v="1"/>
    <x v="6"/>
    <x v="4"/>
    <d v="2021-12-03T00:00:00"/>
    <s v="Ms. Barbara Cervantes"/>
    <x v="2"/>
    <s v="Rochester"/>
    <x v="13"/>
    <x v="1"/>
  </r>
  <r>
    <s v="B-26988"/>
    <n v="2109"/>
    <n v="1428"/>
    <n v="681"/>
    <n v="20"/>
    <x v="0"/>
    <x v="0"/>
    <x v="0"/>
    <d v="2021-12-03T00:00:00"/>
    <s v="Ms. Barbara Cervantes"/>
    <x v="2"/>
    <s v="Rochester"/>
    <x v="13"/>
    <x v="1"/>
  </r>
  <r>
    <s v="B-25596"/>
    <n v="6707"/>
    <n v="5666"/>
    <n v="1041"/>
    <n v="20"/>
    <x v="0"/>
    <x v="10"/>
    <x v="3"/>
    <d v="2021-09-14T00:00:00"/>
    <s v="Steven Proctor"/>
    <x v="4"/>
    <s v="Austin"/>
    <x v="43"/>
    <x v="10"/>
  </r>
  <r>
    <s v="B-26845"/>
    <n v="7633"/>
    <n v="7449"/>
    <n v="184"/>
    <n v="13"/>
    <x v="1"/>
    <x v="2"/>
    <x v="4"/>
    <d v="2021-09-30T00:00:00"/>
    <s v="Shannon Patterson"/>
    <x v="1"/>
    <s v="Springfield"/>
    <x v="43"/>
    <x v="10"/>
  </r>
  <r>
    <s v="B-25099"/>
    <n v="975"/>
    <n v="751"/>
    <n v="224"/>
    <n v="18"/>
    <x v="1"/>
    <x v="2"/>
    <x v="4"/>
    <d v="2021-12-22T00:00:00"/>
    <s v="William Valdez"/>
    <x v="3"/>
    <s v="San Diego"/>
    <x v="13"/>
    <x v="1"/>
  </r>
  <r>
    <s v="B-25099"/>
    <n v="4492"/>
    <n v="3042"/>
    <n v="1450"/>
    <n v="7"/>
    <x v="2"/>
    <x v="4"/>
    <x v="2"/>
    <d v="2021-12-22T00:00:00"/>
    <s v="William Valdez"/>
    <x v="3"/>
    <s v="San Diego"/>
    <x v="13"/>
    <x v="1"/>
  </r>
  <r>
    <s v="B-25099"/>
    <n v="7957"/>
    <n v="5123"/>
    <n v="2834"/>
    <n v="12"/>
    <x v="2"/>
    <x v="5"/>
    <x v="0"/>
    <d v="2021-12-22T00:00:00"/>
    <s v="William Valdez"/>
    <x v="3"/>
    <s v="San Diego"/>
    <x v="13"/>
    <x v="1"/>
  </r>
  <r>
    <s v="B-26153"/>
    <n v="4906"/>
    <n v="3931"/>
    <n v="975"/>
    <n v="7"/>
    <x v="2"/>
    <x v="4"/>
    <x v="1"/>
    <d v="2022-05-18T00:00:00"/>
    <s v="Laura Yu"/>
    <x v="4"/>
    <s v="Houston"/>
    <x v="37"/>
    <x v="3"/>
  </r>
  <r>
    <s v="B-25060"/>
    <n v="1379"/>
    <n v="1129"/>
    <n v="250"/>
    <n v="3"/>
    <x v="1"/>
    <x v="2"/>
    <x v="3"/>
    <d v="2020-10-08T00:00:00"/>
    <s v="Jonathan Mcmillan"/>
    <x v="2"/>
    <s v="Buffalo"/>
    <x v="20"/>
    <x v="4"/>
  </r>
  <r>
    <s v="B-25060"/>
    <n v="4244"/>
    <n v="3904"/>
    <n v="340"/>
    <n v="10"/>
    <x v="0"/>
    <x v="3"/>
    <x v="1"/>
    <d v="2020-10-08T00:00:00"/>
    <s v="Jonathan Mcmillan"/>
    <x v="2"/>
    <s v="Buffalo"/>
    <x v="20"/>
    <x v="4"/>
  </r>
  <r>
    <s v="B-26572"/>
    <n v="5911"/>
    <n v="3578"/>
    <n v="2333"/>
    <n v="14"/>
    <x v="2"/>
    <x v="11"/>
    <x v="2"/>
    <d v="2022-08-20T00:00:00"/>
    <s v="Austin Davis"/>
    <x v="3"/>
    <s v="San Diego"/>
    <x v="40"/>
    <x v="9"/>
  </r>
  <r>
    <s v="B-26572"/>
    <n v="5911"/>
    <n v="3578"/>
    <n v="2333"/>
    <n v="14"/>
    <x v="2"/>
    <x v="11"/>
    <x v="2"/>
    <d v="2024-11-25T00:00:00"/>
    <s v="Mark Roy"/>
    <x v="3"/>
    <s v="San Francisco"/>
    <x v="46"/>
    <x v="5"/>
  </r>
  <r>
    <s v="B-26572"/>
    <n v="1818"/>
    <n v="1080"/>
    <n v="738"/>
    <n v="11"/>
    <x v="1"/>
    <x v="6"/>
    <x v="2"/>
    <d v="2022-08-20T00:00:00"/>
    <s v="Austin Davis"/>
    <x v="3"/>
    <s v="San Diego"/>
    <x v="40"/>
    <x v="9"/>
  </r>
  <r>
    <s v="B-26572"/>
    <n v="1818"/>
    <n v="1080"/>
    <n v="738"/>
    <n v="11"/>
    <x v="1"/>
    <x v="6"/>
    <x v="2"/>
    <d v="2024-11-25T00:00:00"/>
    <s v="Mark Roy"/>
    <x v="3"/>
    <s v="San Francisco"/>
    <x v="46"/>
    <x v="5"/>
  </r>
  <r>
    <s v="B-25919"/>
    <n v="2140"/>
    <n v="1170"/>
    <n v="970"/>
    <n v="4"/>
    <x v="1"/>
    <x v="8"/>
    <x v="3"/>
    <d v="2020-09-30T00:00:00"/>
    <s v="Jillian Williams"/>
    <x v="3"/>
    <s v="San Diego"/>
    <x v="57"/>
    <x v="10"/>
  </r>
  <r>
    <s v="B-25919"/>
    <n v="2140"/>
    <n v="1170"/>
    <n v="970"/>
    <n v="4"/>
    <x v="1"/>
    <x v="8"/>
    <x v="3"/>
    <d v="2025-02-20T00:00:00"/>
    <s v="Rebekah Carter"/>
    <x v="0"/>
    <s v="Orlando"/>
    <x v="9"/>
    <x v="7"/>
  </r>
  <r>
    <s v="B-25919"/>
    <n v="2140"/>
    <n v="1170"/>
    <n v="970"/>
    <n v="4"/>
    <x v="1"/>
    <x v="8"/>
    <x v="3"/>
    <d v="2022-03-20T00:00:00"/>
    <s v="Jonathan Reed"/>
    <x v="3"/>
    <s v="San Francisco"/>
    <x v="25"/>
    <x v="6"/>
  </r>
  <r>
    <s v="B-25919"/>
    <n v="2670"/>
    <n v="1644"/>
    <n v="1026"/>
    <n v="1"/>
    <x v="0"/>
    <x v="3"/>
    <x v="1"/>
    <d v="2020-09-30T00:00:00"/>
    <s v="Jillian Williams"/>
    <x v="3"/>
    <s v="San Diego"/>
    <x v="57"/>
    <x v="10"/>
  </r>
  <r>
    <s v="B-25919"/>
    <n v="2670"/>
    <n v="1644"/>
    <n v="1026"/>
    <n v="1"/>
    <x v="0"/>
    <x v="3"/>
    <x v="1"/>
    <d v="2025-02-20T00:00:00"/>
    <s v="Rebekah Carter"/>
    <x v="0"/>
    <s v="Orlando"/>
    <x v="9"/>
    <x v="7"/>
  </r>
  <r>
    <s v="B-25919"/>
    <n v="2670"/>
    <n v="1644"/>
    <n v="1026"/>
    <n v="1"/>
    <x v="0"/>
    <x v="3"/>
    <x v="1"/>
    <d v="2022-03-20T00:00:00"/>
    <s v="Jonathan Reed"/>
    <x v="3"/>
    <s v="San Francisco"/>
    <x v="25"/>
    <x v="6"/>
  </r>
  <r>
    <s v="B-26978"/>
    <n v="1108"/>
    <n v="941"/>
    <n v="167"/>
    <n v="18"/>
    <x v="0"/>
    <x v="3"/>
    <x v="1"/>
    <d v="2025-03-07T00:00:00"/>
    <s v="Roger Harris"/>
    <x v="1"/>
    <s v="Springfield"/>
    <x v="30"/>
    <x v="6"/>
  </r>
  <r>
    <s v="B-26978"/>
    <n v="9776"/>
    <n v="6026"/>
    <n v="3750"/>
    <n v="9"/>
    <x v="1"/>
    <x v="9"/>
    <x v="0"/>
    <d v="2025-03-07T00:00:00"/>
    <s v="Roger Harris"/>
    <x v="1"/>
    <s v="Springfield"/>
    <x v="30"/>
    <x v="6"/>
  </r>
  <r>
    <s v="B-26978"/>
    <n v="535"/>
    <n v="463"/>
    <n v="72"/>
    <n v="6"/>
    <x v="2"/>
    <x v="11"/>
    <x v="4"/>
    <d v="2025-03-07T00:00:00"/>
    <s v="Roger Harris"/>
    <x v="1"/>
    <s v="Springfield"/>
    <x v="30"/>
    <x v="6"/>
  </r>
  <r>
    <s v="B-26554"/>
    <n v="7564"/>
    <n v="4101"/>
    <n v="3463"/>
    <n v="5"/>
    <x v="1"/>
    <x v="8"/>
    <x v="3"/>
    <d v="2024-06-16T00:00:00"/>
    <s v="Louis Jimenez"/>
    <x v="0"/>
    <s v="Tampa"/>
    <x v="47"/>
    <x v="0"/>
  </r>
  <r>
    <s v="B-26554"/>
    <n v="7564"/>
    <n v="4101"/>
    <n v="3463"/>
    <n v="5"/>
    <x v="1"/>
    <x v="8"/>
    <x v="3"/>
    <d v="2020-11-21T00:00:00"/>
    <s v="Jessica Jones"/>
    <x v="1"/>
    <s v="Peoria"/>
    <x v="11"/>
    <x v="5"/>
  </r>
  <r>
    <s v="B-26554"/>
    <n v="7564"/>
    <n v="4101"/>
    <n v="3463"/>
    <n v="5"/>
    <x v="1"/>
    <x v="8"/>
    <x v="3"/>
    <d v="2024-10-01T00:00:00"/>
    <s v="Renee Gomez"/>
    <x v="0"/>
    <s v="Miami"/>
    <x v="56"/>
    <x v="4"/>
  </r>
  <r>
    <s v="B-26554"/>
    <n v="7564"/>
    <n v="4101"/>
    <n v="3463"/>
    <n v="5"/>
    <x v="1"/>
    <x v="8"/>
    <x v="3"/>
    <d v="2024-07-01T00:00:00"/>
    <s v="Connie Olson"/>
    <x v="4"/>
    <s v="Houston"/>
    <x v="41"/>
    <x v="2"/>
  </r>
  <r>
    <s v="B-26554"/>
    <n v="3409"/>
    <n v="1804"/>
    <n v="1605"/>
    <n v="20"/>
    <x v="0"/>
    <x v="0"/>
    <x v="0"/>
    <d v="2024-06-16T00:00:00"/>
    <s v="Louis Jimenez"/>
    <x v="0"/>
    <s v="Tampa"/>
    <x v="47"/>
    <x v="0"/>
  </r>
  <r>
    <s v="B-26554"/>
    <n v="3409"/>
    <n v="1804"/>
    <n v="1605"/>
    <n v="20"/>
    <x v="0"/>
    <x v="0"/>
    <x v="0"/>
    <d v="2020-11-21T00:00:00"/>
    <s v="Jessica Jones"/>
    <x v="1"/>
    <s v="Peoria"/>
    <x v="11"/>
    <x v="5"/>
  </r>
  <r>
    <s v="B-26554"/>
    <n v="3409"/>
    <n v="1804"/>
    <n v="1605"/>
    <n v="20"/>
    <x v="0"/>
    <x v="0"/>
    <x v="0"/>
    <d v="2024-10-01T00:00:00"/>
    <s v="Renee Gomez"/>
    <x v="0"/>
    <s v="Miami"/>
    <x v="56"/>
    <x v="4"/>
  </r>
  <r>
    <s v="B-26554"/>
    <n v="3409"/>
    <n v="1804"/>
    <n v="1605"/>
    <n v="20"/>
    <x v="0"/>
    <x v="0"/>
    <x v="0"/>
    <d v="2024-07-01T00:00:00"/>
    <s v="Connie Olson"/>
    <x v="4"/>
    <s v="Houston"/>
    <x v="41"/>
    <x v="2"/>
  </r>
  <r>
    <s v="B-26883"/>
    <n v="9751"/>
    <n v="7292"/>
    <n v="2459"/>
    <n v="13"/>
    <x v="1"/>
    <x v="2"/>
    <x v="4"/>
    <d v="2020-11-23T00:00:00"/>
    <s v="Christian Jones"/>
    <x v="2"/>
    <s v="Buffalo"/>
    <x v="11"/>
    <x v="5"/>
  </r>
  <r>
    <s v="B-25423"/>
    <n v="6385"/>
    <n v="3729"/>
    <n v="2656"/>
    <n v="11"/>
    <x v="0"/>
    <x v="1"/>
    <x v="3"/>
    <d v="2023-03-18T00:00:00"/>
    <s v="Matthew Kelley"/>
    <x v="0"/>
    <s v="Orlando"/>
    <x v="45"/>
    <x v="6"/>
  </r>
  <r>
    <s v="B-25423"/>
    <n v="6385"/>
    <n v="3729"/>
    <n v="2656"/>
    <n v="11"/>
    <x v="0"/>
    <x v="1"/>
    <x v="3"/>
    <d v="2022-10-19T00:00:00"/>
    <s v="Candace Martinez"/>
    <x v="0"/>
    <s v="Tampa"/>
    <x v="15"/>
    <x v="4"/>
  </r>
  <r>
    <s v="B-26324"/>
    <n v="6355"/>
    <n v="5020"/>
    <n v="1335"/>
    <n v="15"/>
    <x v="0"/>
    <x v="0"/>
    <x v="1"/>
    <d v="2023-08-31T00:00:00"/>
    <s v="Jacob Mann"/>
    <x v="4"/>
    <s v="Austin"/>
    <x v="21"/>
    <x v="9"/>
  </r>
  <r>
    <s v="B-26324"/>
    <n v="6355"/>
    <n v="5020"/>
    <n v="1335"/>
    <n v="15"/>
    <x v="0"/>
    <x v="0"/>
    <x v="1"/>
    <d v="2021-06-06T00:00:00"/>
    <s v="Keith Reese"/>
    <x v="4"/>
    <s v="Austin"/>
    <x v="22"/>
    <x v="0"/>
  </r>
  <r>
    <s v="B-26945"/>
    <n v="7377"/>
    <n v="7057"/>
    <n v="320"/>
    <n v="15"/>
    <x v="0"/>
    <x v="1"/>
    <x v="1"/>
    <d v="2022-12-21T00:00:00"/>
    <s v="Aaron Jones"/>
    <x v="4"/>
    <s v="Austin"/>
    <x v="29"/>
    <x v="1"/>
  </r>
  <r>
    <s v="B-26945"/>
    <n v="2054"/>
    <n v="1683"/>
    <n v="371"/>
    <n v="12"/>
    <x v="1"/>
    <x v="6"/>
    <x v="2"/>
    <d v="2022-12-21T00:00:00"/>
    <s v="Aaron Jones"/>
    <x v="4"/>
    <s v="Austin"/>
    <x v="29"/>
    <x v="1"/>
  </r>
  <r>
    <s v="B-26405"/>
    <n v="7497"/>
    <n v="7178"/>
    <n v="319"/>
    <n v="18"/>
    <x v="2"/>
    <x v="5"/>
    <x v="4"/>
    <d v="2024-02-12T00:00:00"/>
    <s v="Christopher Brooks"/>
    <x v="1"/>
    <s v="Peoria"/>
    <x v="42"/>
    <x v="7"/>
  </r>
  <r>
    <s v="B-26046"/>
    <n v="2565"/>
    <n v="1582"/>
    <n v="983"/>
    <n v="20"/>
    <x v="0"/>
    <x v="0"/>
    <x v="1"/>
    <d v="2022-12-05T00:00:00"/>
    <s v="Charles Moore"/>
    <x v="0"/>
    <s v="Miami"/>
    <x v="29"/>
    <x v="1"/>
  </r>
  <r>
    <s v="B-26046"/>
    <n v="5024"/>
    <n v="3480"/>
    <n v="1544"/>
    <n v="19"/>
    <x v="1"/>
    <x v="2"/>
    <x v="4"/>
    <d v="2022-12-05T00:00:00"/>
    <s v="Charles Moore"/>
    <x v="0"/>
    <s v="Miami"/>
    <x v="29"/>
    <x v="1"/>
  </r>
  <r>
    <s v="B-25746"/>
    <n v="8243"/>
    <n v="6897"/>
    <n v="1346"/>
    <n v="15"/>
    <x v="1"/>
    <x v="9"/>
    <x v="1"/>
    <d v="2021-04-04T00:00:00"/>
    <s v="Manuel Walls"/>
    <x v="4"/>
    <s v="Houston"/>
    <x v="27"/>
    <x v="11"/>
  </r>
  <r>
    <s v="B-25232"/>
    <n v="7792"/>
    <n v="6389"/>
    <n v="1403"/>
    <n v="13"/>
    <x v="1"/>
    <x v="8"/>
    <x v="0"/>
    <d v="2021-02-12T00:00:00"/>
    <s v="Darren Moore"/>
    <x v="1"/>
    <s v="Peoria"/>
    <x v="51"/>
    <x v="7"/>
  </r>
  <r>
    <s v="B-25232"/>
    <n v="7792"/>
    <n v="6389"/>
    <n v="1403"/>
    <n v="13"/>
    <x v="1"/>
    <x v="8"/>
    <x v="0"/>
    <d v="2022-12-27T00:00:00"/>
    <s v="Stephanie Thomas"/>
    <x v="2"/>
    <s v="Rochester"/>
    <x v="29"/>
    <x v="1"/>
  </r>
  <r>
    <s v="B-25232"/>
    <n v="7792"/>
    <n v="6389"/>
    <n v="1403"/>
    <n v="13"/>
    <x v="1"/>
    <x v="8"/>
    <x v="0"/>
    <d v="2024-01-19T00:00:00"/>
    <s v="Kristy Hernandez"/>
    <x v="3"/>
    <s v="San Diego"/>
    <x v="10"/>
    <x v="8"/>
  </r>
  <r>
    <s v="B-25232"/>
    <n v="2346"/>
    <n v="1958"/>
    <n v="388"/>
    <n v="14"/>
    <x v="2"/>
    <x v="5"/>
    <x v="1"/>
    <d v="2021-02-12T00:00:00"/>
    <s v="Darren Moore"/>
    <x v="1"/>
    <s v="Peoria"/>
    <x v="51"/>
    <x v="7"/>
  </r>
  <r>
    <s v="B-25232"/>
    <n v="2346"/>
    <n v="1958"/>
    <n v="388"/>
    <n v="14"/>
    <x v="2"/>
    <x v="5"/>
    <x v="1"/>
    <d v="2022-12-27T00:00:00"/>
    <s v="Stephanie Thomas"/>
    <x v="2"/>
    <s v="Rochester"/>
    <x v="29"/>
    <x v="1"/>
  </r>
  <r>
    <s v="B-25232"/>
    <n v="2346"/>
    <n v="1958"/>
    <n v="388"/>
    <n v="14"/>
    <x v="2"/>
    <x v="5"/>
    <x v="1"/>
    <d v="2024-01-19T00:00:00"/>
    <s v="Kristy Hernandez"/>
    <x v="3"/>
    <s v="San Diego"/>
    <x v="10"/>
    <x v="8"/>
  </r>
  <r>
    <s v="B-25591"/>
    <n v="7346"/>
    <n v="6303"/>
    <n v="1043"/>
    <n v="10"/>
    <x v="2"/>
    <x v="7"/>
    <x v="3"/>
    <d v="2022-12-25T00:00:00"/>
    <s v="Randy Johnson"/>
    <x v="5"/>
    <s v="Columbus"/>
    <x v="29"/>
    <x v="1"/>
  </r>
  <r>
    <s v="B-25591"/>
    <n v="9770"/>
    <n v="5638"/>
    <n v="4132"/>
    <n v="7"/>
    <x v="0"/>
    <x v="0"/>
    <x v="0"/>
    <d v="2022-12-25T00:00:00"/>
    <s v="Randy Johnson"/>
    <x v="5"/>
    <s v="Columbus"/>
    <x v="29"/>
    <x v="1"/>
  </r>
  <r>
    <s v="B-25591"/>
    <n v="7179"/>
    <n v="6496"/>
    <n v="683"/>
    <n v="13"/>
    <x v="0"/>
    <x v="3"/>
    <x v="3"/>
    <d v="2022-12-25T00:00:00"/>
    <s v="Randy Johnson"/>
    <x v="5"/>
    <s v="Columbus"/>
    <x v="29"/>
    <x v="1"/>
  </r>
  <r>
    <s v="B-26325"/>
    <n v="5449"/>
    <n v="3060"/>
    <n v="2389"/>
    <n v="2"/>
    <x v="0"/>
    <x v="10"/>
    <x v="0"/>
    <d v="2022-10-06T00:00:00"/>
    <s v="James Benitez"/>
    <x v="0"/>
    <s v="Miami"/>
    <x v="15"/>
    <x v="4"/>
  </r>
  <r>
    <s v="B-25251"/>
    <n v="2895"/>
    <n v="2791"/>
    <n v="104"/>
    <n v="6"/>
    <x v="2"/>
    <x v="5"/>
    <x v="4"/>
    <d v="2020-04-27T00:00:00"/>
    <s v="Donald York"/>
    <x v="2"/>
    <s v="Buffalo"/>
    <x v="32"/>
    <x v="11"/>
  </r>
  <r>
    <s v="B-25251"/>
    <n v="2895"/>
    <n v="2791"/>
    <n v="104"/>
    <n v="6"/>
    <x v="2"/>
    <x v="5"/>
    <x v="4"/>
    <d v="2024-05-13T00:00:00"/>
    <s v="Tiffany Parker"/>
    <x v="4"/>
    <s v="Houston"/>
    <x v="3"/>
    <x v="3"/>
  </r>
  <r>
    <s v="B-25251"/>
    <n v="697"/>
    <n v="581"/>
    <n v="116"/>
    <n v="1"/>
    <x v="2"/>
    <x v="5"/>
    <x v="0"/>
    <d v="2020-04-27T00:00:00"/>
    <s v="Donald York"/>
    <x v="2"/>
    <s v="Buffalo"/>
    <x v="32"/>
    <x v="11"/>
  </r>
  <r>
    <s v="B-25251"/>
    <n v="697"/>
    <n v="581"/>
    <n v="116"/>
    <n v="1"/>
    <x v="2"/>
    <x v="5"/>
    <x v="0"/>
    <d v="2024-05-13T00:00:00"/>
    <s v="Tiffany Parker"/>
    <x v="4"/>
    <s v="Houston"/>
    <x v="3"/>
    <x v="3"/>
  </r>
  <r>
    <s v="B-25464"/>
    <n v="6145"/>
    <n v="4731"/>
    <n v="1414"/>
    <n v="4"/>
    <x v="2"/>
    <x v="5"/>
    <x v="4"/>
    <d v="2020-10-23T00:00:00"/>
    <s v="Melissa Mcknight"/>
    <x v="3"/>
    <s v="Los Angeles"/>
    <x v="20"/>
    <x v="4"/>
  </r>
  <r>
    <s v="B-25464"/>
    <n v="2504"/>
    <n v="2064"/>
    <n v="440"/>
    <n v="18"/>
    <x v="0"/>
    <x v="1"/>
    <x v="0"/>
    <d v="2020-10-23T00:00:00"/>
    <s v="Melissa Mcknight"/>
    <x v="3"/>
    <s v="Los Angeles"/>
    <x v="20"/>
    <x v="4"/>
  </r>
  <r>
    <s v="B-25464"/>
    <n v="3124"/>
    <n v="2986"/>
    <n v="138"/>
    <n v="16"/>
    <x v="0"/>
    <x v="10"/>
    <x v="1"/>
    <d v="2020-10-23T00:00:00"/>
    <s v="Melissa Mcknight"/>
    <x v="3"/>
    <s v="Los Angeles"/>
    <x v="20"/>
    <x v="4"/>
  </r>
  <r>
    <s v="B-26678"/>
    <n v="6934"/>
    <n v="5708"/>
    <n v="1226"/>
    <n v="1"/>
    <x v="0"/>
    <x v="0"/>
    <x v="1"/>
    <d v="2021-06-11T00:00:00"/>
    <s v="Mr. Jack Mercado"/>
    <x v="5"/>
    <s v="Cincinnati"/>
    <x v="22"/>
    <x v="0"/>
  </r>
  <r>
    <s v="B-26678"/>
    <n v="6934"/>
    <n v="5708"/>
    <n v="1226"/>
    <n v="1"/>
    <x v="0"/>
    <x v="0"/>
    <x v="1"/>
    <d v="2021-09-08T00:00:00"/>
    <s v="Christian Jones"/>
    <x v="2"/>
    <s v="Rochester"/>
    <x v="43"/>
    <x v="10"/>
  </r>
  <r>
    <s v="B-25962"/>
    <n v="4202"/>
    <n v="3031"/>
    <n v="1171"/>
    <n v="3"/>
    <x v="1"/>
    <x v="6"/>
    <x v="4"/>
    <d v="2022-11-23T00:00:00"/>
    <s v="Rachel Fisher"/>
    <x v="1"/>
    <s v="Peoria"/>
    <x v="5"/>
    <x v="5"/>
  </r>
  <r>
    <s v="B-25962"/>
    <n v="4202"/>
    <n v="3031"/>
    <n v="1171"/>
    <n v="3"/>
    <x v="1"/>
    <x v="6"/>
    <x v="4"/>
    <d v="2022-10-31T00:00:00"/>
    <s v="Donald Moore"/>
    <x v="2"/>
    <s v="Rochester"/>
    <x v="15"/>
    <x v="4"/>
  </r>
  <r>
    <s v="B-25962"/>
    <n v="4202"/>
    <n v="3031"/>
    <n v="1171"/>
    <n v="3"/>
    <x v="1"/>
    <x v="6"/>
    <x v="4"/>
    <d v="2023-11-06T00:00:00"/>
    <s v="William Wu"/>
    <x v="0"/>
    <s v="Tampa"/>
    <x v="6"/>
    <x v="5"/>
  </r>
  <r>
    <s v="B-25962"/>
    <n v="4202"/>
    <n v="3031"/>
    <n v="1171"/>
    <n v="3"/>
    <x v="1"/>
    <x v="6"/>
    <x v="4"/>
    <d v="2023-11-12T00:00:00"/>
    <s v="Jesus Zuniga"/>
    <x v="4"/>
    <s v="Houston"/>
    <x v="6"/>
    <x v="5"/>
  </r>
  <r>
    <s v="B-26586"/>
    <n v="2239"/>
    <n v="1411"/>
    <n v="828"/>
    <n v="1"/>
    <x v="0"/>
    <x v="1"/>
    <x v="0"/>
    <d v="2023-06-26T00:00:00"/>
    <s v="Michael Gallegos"/>
    <x v="3"/>
    <s v="Los Angeles"/>
    <x v="0"/>
    <x v="0"/>
  </r>
  <r>
    <s v="B-26586"/>
    <n v="2239"/>
    <n v="1411"/>
    <n v="828"/>
    <n v="1"/>
    <x v="0"/>
    <x v="1"/>
    <x v="0"/>
    <d v="2023-09-30T00:00:00"/>
    <s v="Robert Daniels"/>
    <x v="1"/>
    <s v="Chicago"/>
    <x v="48"/>
    <x v="10"/>
  </r>
  <r>
    <s v="B-26586"/>
    <n v="2450"/>
    <n v="1448"/>
    <n v="1002"/>
    <n v="4"/>
    <x v="0"/>
    <x v="10"/>
    <x v="1"/>
    <d v="2023-06-26T00:00:00"/>
    <s v="Michael Gallegos"/>
    <x v="3"/>
    <s v="Los Angeles"/>
    <x v="0"/>
    <x v="0"/>
  </r>
  <r>
    <s v="B-26586"/>
    <n v="2450"/>
    <n v="1448"/>
    <n v="1002"/>
    <n v="4"/>
    <x v="0"/>
    <x v="10"/>
    <x v="1"/>
    <d v="2023-09-30T00:00:00"/>
    <s v="Robert Daniels"/>
    <x v="1"/>
    <s v="Chicago"/>
    <x v="48"/>
    <x v="10"/>
  </r>
  <r>
    <s v="B-26841"/>
    <n v="9827"/>
    <n v="5619"/>
    <n v="4208"/>
    <n v="13"/>
    <x v="2"/>
    <x v="5"/>
    <x v="1"/>
    <d v="2020-09-12T00:00:00"/>
    <s v="Jill Jones"/>
    <x v="2"/>
    <s v="New York City"/>
    <x v="57"/>
    <x v="10"/>
  </r>
  <r>
    <s v="B-26841"/>
    <n v="8077"/>
    <n v="7837"/>
    <n v="240"/>
    <n v="15"/>
    <x v="2"/>
    <x v="7"/>
    <x v="3"/>
    <d v="2020-09-12T00:00:00"/>
    <s v="Jill Jones"/>
    <x v="2"/>
    <s v="New York City"/>
    <x v="57"/>
    <x v="10"/>
  </r>
  <r>
    <s v="B-26284"/>
    <n v="5152"/>
    <n v="3107"/>
    <n v="2045"/>
    <n v="14"/>
    <x v="0"/>
    <x v="10"/>
    <x v="0"/>
    <d v="2020-11-27T00:00:00"/>
    <s v="Elizabeth Miller"/>
    <x v="1"/>
    <s v="Springfield"/>
    <x v="11"/>
    <x v="5"/>
  </r>
  <r>
    <s v="B-26284"/>
    <n v="5152"/>
    <n v="3107"/>
    <n v="2045"/>
    <n v="14"/>
    <x v="0"/>
    <x v="10"/>
    <x v="0"/>
    <d v="2022-08-25T00:00:00"/>
    <s v="Sabrina Clark"/>
    <x v="3"/>
    <s v="Los Angeles"/>
    <x v="40"/>
    <x v="9"/>
  </r>
  <r>
    <s v="B-26284"/>
    <n v="5152"/>
    <n v="3107"/>
    <n v="2045"/>
    <n v="14"/>
    <x v="0"/>
    <x v="10"/>
    <x v="0"/>
    <d v="2023-08-23T00:00:00"/>
    <s v="Larry Casey"/>
    <x v="1"/>
    <s v="Chicago"/>
    <x v="21"/>
    <x v="9"/>
  </r>
  <r>
    <s v="B-26284"/>
    <n v="5152"/>
    <n v="3107"/>
    <n v="2045"/>
    <n v="14"/>
    <x v="0"/>
    <x v="10"/>
    <x v="0"/>
    <d v="2023-10-11T00:00:00"/>
    <s v="Daniel Burns"/>
    <x v="2"/>
    <s v="Rochester"/>
    <x v="59"/>
    <x v="4"/>
  </r>
  <r>
    <s v="B-26478"/>
    <n v="2542"/>
    <n v="2352"/>
    <n v="190"/>
    <n v="1"/>
    <x v="1"/>
    <x v="6"/>
    <x v="3"/>
    <d v="2022-04-21T00:00:00"/>
    <s v="James Tanner"/>
    <x v="4"/>
    <s v="Houston"/>
    <x v="39"/>
    <x v="11"/>
  </r>
  <r>
    <s v="B-26679"/>
    <n v="8102"/>
    <n v="6302"/>
    <n v="1800"/>
    <n v="5"/>
    <x v="1"/>
    <x v="6"/>
    <x v="0"/>
    <d v="2023-09-14T00:00:00"/>
    <s v="Leonard Gonzalez"/>
    <x v="3"/>
    <s v="San Francisco"/>
    <x v="48"/>
    <x v="10"/>
  </r>
  <r>
    <s v="B-26679"/>
    <n v="8102"/>
    <n v="6302"/>
    <n v="1800"/>
    <n v="5"/>
    <x v="1"/>
    <x v="6"/>
    <x v="0"/>
    <d v="2020-04-29T00:00:00"/>
    <s v="Richard Lee"/>
    <x v="2"/>
    <s v="Buffalo"/>
    <x v="32"/>
    <x v="11"/>
  </r>
  <r>
    <s v="B-26679"/>
    <n v="8102"/>
    <n v="6302"/>
    <n v="1800"/>
    <n v="5"/>
    <x v="1"/>
    <x v="6"/>
    <x v="0"/>
    <d v="2020-12-15T00:00:00"/>
    <s v="Matthew Schroeder"/>
    <x v="5"/>
    <s v="Cleveland"/>
    <x v="50"/>
    <x v="1"/>
  </r>
  <r>
    <s v="B-26679"/>
    <n v="3234"/>
    <n v="1960"/>
    <n v="1274"/>
    <n v="10"/>
    <x v="2"/>
    <x v="4"/>
    <x v="2"/>
    <d v="2023-09-14T00:00:00"/>
    <s v="Leonard Gonzalez"/>
    <x v="3"/>
    <s v="San Francisco"/>
    <x v="48"/>
    <x v="10"/>
  </r>
  <r>
    <s v="B-26679"/>
    <n v="3234"/>
    <n v="1960"/>
    <n v="1274"/>
    <n v="10"/>
    <x v="2"/>
    <x v="4"/>
    <x v="2"/>
    <d v="2020-04-29T00:00:00"/>
    <s v="Richard Lee"/>
    <x v="2"/>
    <s v="Buffalo"/>
    <x v="32"/>
    <x v="11"/>
  </r>
  <r>
    <s v="B-26679"/>
    <n v="3234"/>
    <n v="1960"/>
    <n v="1274"/>
    <n v="10"/>
    <x v="2"/>
    <x v="4"/>
    <x v="2"/>
    <d v="2020-12-15T00:00:00"/>
    <s v="Matthew Schroeder"/>
    <x v="5"/>
    <s v="Cleveland"/>
    <x v="50"/>
    <x v="1"/>
  </r>
  <r>
    <s v="B-26397"/>
    <n v="6200"/>
    <n v="3879"/>
    <n v="2321"/>
    <n v="18"/>
    <x v="2"/>
    <x v="4"/>
    <x v="3"/>
    <d v="2024-07-11T00:00:00"/>
    <s v="Marcus Flores"/>
    <x v="3"/>
    <s v="Los Angeles"/>
    <x v="41"/>
    <x v="2"/>
  </r>
  <r>
    <s v="B-26397"/>
    <n v="6200"/>
    <n v="3879"/>
    <n v="2321"/>
    <n v="18"/>
    <x v="2"/>
    <x v="4"/>
    <x v="3"/>
    <d v="2024-09-21T00:00:00"/>
    <s v="Tonya Long"/>
    <x v="0"/>
    <s v="Miami"/>
    <x v="31"/>
    <x v="10"/>
  </r>
  <r>
    <s v="B-25957"/>
    <n v="4470"/>
    <n v="4057"/>
    <n v="413"/>
    <n v="13"/>
    <x v="0"/>
    <x v="3"/>
    <x v="0"/>
    <d v="2025-02-02T00:00:00"/>
    <s v="Michael Chambers"/>
    <x v="3"/>
    <s v="Los Angeles"/>
    <x v="9"/>
    <x v="7"/>
  </r>
  <r>
    <s v="B-26916"/>
    <n v="916"/>
    <n v="554"/>
    <n v="362"/>
    <n v="7"/>
    <x v="1"/>
    <x v="2"/>
    <x v="0"/>
    <d v="2022-10-21T00:00:00"/>
    <s v="Kaylee Glover"/>
    <x v="1"/>
    <s v="Springfield"/>
    <x v="15"/>
    <x v="4"/>
  </r>
  <r>
    <s v="B-26916"/>
    <n v="916"/>
    <n v="554"/>
    <n v="362"/>
    <n v="7"/>
    <x v="1"/>
    <x v="2"/>
    <x v="0"/>
    <d v="2020-10-21T00:00:00"/>
    <s v="Pamela Patterson"/>
    <x v="3"/>
    <s v="San Francisco"/>
    <x v="20"/>
    <x v="4"/>
  </r>
  <r>
    <s v="B-26916"/>
    <n v="1165"/>
    <n v="863"/>
    <n v="302"/>
    <n v="20"/>
    <x v="2"/>
    <x v="7"/>
    <x v="0"/>
    <d v="2022-10-21T00:00:00"/>
    <s v="Kaylee Glover"/>
    <x v="1"/>
    <s v="Springfield"/>
    <x v="15"/>
    <x v="4"/>
  </r>
  <r>
    <s v="B-26916"/>
    <n v="1165"/>
    <n v="863"/>
    <n v="302"/>
    <n v="20"/>
    <x v="2"/>
    <x v="7"/>
    <x v="0"/>
    <d v="2020-10-21T00:00:00"/>
    <s v="Pamela Patterson"/>
    <x v="3"/>
    <s v="San Francisco"/>
    <x v="20"/>
    <x v="4"/>
  </r>
  <r>
    <s v="B-26916"/>
    <n v="7846"/>
    <n v="7169"/>
    <n v="677"/>
    <n v="12"/>
    <x v="2"/>
    <x v="5"/>
    <x v="0"/>
    <d v="2022-10-21T00:00:00"/>
    <s v="Kaylee Glover"/>
    <x v="1"/>
    <s v="Springfield"/>
    <x v="15"/>
    <x v="4"/>
  </r>
  <r>
    <s v="B-26916"/>
    <n v="7846"/>
    <n v="7169"/>
    <n v="677"/>
    <n v="12"/>
    <x v="2"/>
    <x v="5"/>
    <x v="0"/>
    <d v="2020-10-21T00:00:00"/>
    <s v="Pamela Patterson"/>
    <x v="3"/>
    <s v="San Francisco"/>
    <x v="20"/>
    <x v="4"/>
  </r>
  <r>
    <s v="B-25925"/>
    <n v="3022"/>
    <n v="2638"/>
    <n v="384"/>
    <n v="1"/>
    <x v="1"/>
    <x v="2"/>
    <x v="3"/>
    <d v="2022-01-11T00:00:00"/>
    <s v="Ronald Mckinney"/>
    <x v="4"/>
    <s v="Austin"/>
    <x v="12"/>
    <x v="8"/>
  </r>
  <r>
    <s v="B-25925"/>
    <n v="3022"/>
    <n v="2638"/>
    <n v="384"/>
    <n v="1"/>
    <x v="1"/>
    <x v="2"/>
    <x v="3"/>
    <d v="2021-02-17T00:00:00"/>
    <s v="James Hart"/>
    <x v="1"/>
    <s v="Chicago"/>
    <x v="51"/>
    <x v="7"/>
  </r>
  <r>
    <s v="B-25925"/>
    <n v="5266"/>
    <n v="4155"/>
    <n v="1111"/>
    <n v="13"/>
    <x v="0"/>
    <x v="0"/>
    <x v="1"/>
    <d v="2022-01-11T00:00:00"/>
    <s v="Ronald Mckinney"/>
    <x v="4"/>
    <s v="Austin"/>
    <x v="12"/>
    <x v="8"/>
  </r>
  <r>
    <s v="B-25925"/>
    <n v="5266"/>
    <n v="4155"/>
    <n v="1111"/>
    <n v="13"/>
    <x v="0"/>
    <x v="0"/>
    <x v="1"/>
    <d v="2021-02-17T00:00:00"/>
    <s v="James Hart"/>
    <x v="1"/>
    <s v="Chicago"/>
    <x v="51"/>
    <x v="7"/>
  </r>
  <r>
    <s v="B-25602"/>
    <n v="4853"/>
    <n v="3089"/>
    <n v="1764"/>
    <n v="9"/>
    <x v="1"/>
    <x v="2"/>
    <x v="1"/>
    <d v="2021-11-06T00:00:00"/>
    <s v="Rhonda Harris"/>
    <x v="0"/>
    <s v="Orlando"/>
    <x v="35"/>
    <x v="5"/>
  </r>
  <r>
    <s v="B-25602"/>
    <n v="4853"/>
    <n v="3089"/>
    <n v="1764"/>
    <n v="9"/>
    <x v="1"/>
    <x v="2"/>
    <x v="1"/>
    <d v="2022-08-30T00:00:00"/>
    <s v="Randy Fisher"/>
    <x v="4"/>
    <s v="Houston"/>
    <x v="40"/>
    <x v="9"/>
  </r>
  <r>
    <s v="B-26592"/>
    <n v="9832"/>
    <n v="8562"/>
    <n v="1270"/>
    <n v="1"/>
    <x v="1"/>
    <x v="2"/>
    <x v="4"/>
    <d v="2022-10-07T00:00:00"/>
    <s v="James Hernandez"/>
    <x v="3"/>
    <s v="San Francisco"/>
    <x v="15"/>
    <x v="4"/>
  </r>
  <r>
    <s v="B-26592"/>
    <n v="796"/>
    <n v="643"/>
    <n v="153"/>
    <n v="15"/>
    <x v="1"/>
    <x v="2"/>
    <x v="3"/>
    <d v="2022-10-07T00:00:00"/>
    <s v="James Hernandez"/>
    <x v="3"/>
    <s v="San Francisco"/>
    <x v="15"/>
    <x v="4"/>
  </r>
  <r>
    <s v="B-26251"/>
    <n v="883"/>
    <n v="756"/>
    <n v="127"/>
    <n v="7"/>
    <x v="2"/>
    <x v="5"/>
    <x v="4"/>
    <d v="2023-06-04T00:00:00"/>
    <s v="Brenda Murphy"/>
    <x v="3"/>
    <s v="San Francisco"/>
    <x v="0"/>
    <x v="0"/>
  </r>
  <r>
    <s v="B-26251"/>
    <n v="4539"/>
    <n v="3384"/>
    <n v="1155"/>
    <n v="8"/>
    <x v="2"/>
    <x v="11"/>
    <x v="1"/>
    <d v="2023-06-04T00:00:00"/>
    <s v="Brenda Murphy"/>
    <x v="3"/>
    <s v="San Francisco"/>
    <x v="0"/>
    <x v="0"/>
  </r>
  <r>
    <s v="B-26251"/>
    <n v="9659"/>
    <n v="7433"/>
    <n v="2226"/>
    <n v="16"/>
    <x v="1"/>
    <x v="9"/>
    <x v="1"/>
    <d v="2023-06-04T00:00:00"/>
    <s v="Brenda Murphy"/>
    <x v="3"/>
    <s v="San Francisco"/>
    <x v="0"/>
    <x v="0"/>
  </r>
  <r>
    <s v="B-25979"/>
    <n v="9562"/>
    <n v="9237"/>
    <n v="325"/>
    <n v="2"/>
    <x v="0"/>
    <x v="1"/>
    <x v="1"/>
    <d v="2022-05-13T00:00:00"/>
    <s v="Andrew Kirby"/>
    <x v="3"/>
    <s v="San Diego"/>
    <x v="37"/>
    <x v="3"/>
  </r>
  <r>
    <s v="B-25437"/>
    <n v="4688"/>
    <n v="2847"/>
    <n v="1841"/>
    <n v="3"/>
    <x v="0"/>
    <x v="3"/>
    <x v="3"/>
    <d v="2023-01-23T00:00:00"/>
    <s v="Justin Thomas"/>
    <x v="3"/>
    <s v="San Francisco"/>
    <x v="54"/>
    <x v="8"/>
  </r>
  <r>
    <s v="B-25437"/>
    <n v="4688"/>
    <n v="2847"/>
    <n v="1841"/>
    <n v="3"/>
    <x v="0"/>
    <x v="3"/>
    <x v="3"/>
    <d v="2021-07-25T00:00:00"/>
    <s v="Jillian Johnson MD"/>
    <x v="3"/>
    <s v="San Diego"/>
    <x v="2"/>
    <x v="2"/>
  </r>
  <r>
    <s v="B-26986"/>
    <n v="7900"/>
    <n v="7418"/>
    <n v="482"/>
    <n v="4"/>
    <x v="0"/>
    <x v="10"/>
    <x v="4"/>
    <d v="2025-03-08T00:00:00"/>
    <s v="William Martin"/>
    <x v="5"/>
    <s v="Columbus"/>
    <x v="30"/>
    <x v="6"/>
  </r>
  <r>
    <s v="B-25990"/>
    <n v="6967"/>
    <n v="3710"/>
    <n v="3257"/>
    <n v="17"/>
    <x v="2"/>
    <x v="11"/>
    <x v="4"/>
    <d v="2022-12-25T00:00:00"/>
    <s v="Mark Dixon"/>
    <x v="5"/>
    <s v="Cincinnati"/>
    <x v="29"/>
    <x v="1"/>
  </r>
  <r>
    <s v="B-25990"/>
    <n v="1091"/>
    <n v="814"/>
    <n v="277"/>
    <n v="6"/>
    <x v="1"/>
    <x v="8"/>
    <x v="4"/>
    <d v="2022-12-25T00:00:00"/>
    <s v="Mark Dixon"/>
    <x v="5"/>
    <s v="Cincinnati"/>
    <x v="29"/>
    <x v="1"/>
  </r>
  <r>
    <s v="B-25990"/>
    <n v="6027"/>
    <n v="4497"/>
    <n v="1530"/>
    <n v="2"/>
    <x v="1"/>
    <x v="9"/>
    <x v="3"/>
    <d v="2022-12-25T00:00:00"/>
    <s v="Mark Dixon"/>
    <x v="5"/>
    <s v="Cincinnati"/>
    <x v="29"/>
    <x v="1"/>
  </r>
  <r>
    <s v="B-25222"/>
    <n v="4852"/>
    <n v="4634"/>
    <n v="218"/>
    <n v="2"/>
    <x v="2"/>
    <x v="4"/>
    <x v="2"/>
    <d v="2024-04-24T00:00:00"/>
    <s v="Alicia Allen"/>
    <x v="4"/>
    <s v="Dallas"/>
    <x v="44"/>
    <x v="11"/>
  </r>
  <r>
    <s v="B-25222"/>
    <n v="4852"/>
    <n v="4634"/>
    <n v="218"/>
    <n v="2"/>
    <x v="2"/>
    <x v="4"/>
    <x v="2"/>
    <d v="2021-12-24T00:00:00"/>
    <s v="Cynthia Meyer"/>
    <x v="0"/>
    <s v="Tampa"/>
    <x v="13"/>
    <x v="1"/>
  </r>
  <r>
    <s v="B-25222"/>
    <n v="4852"/>
    <n v="4634"/>
    <n v="218"/>
    <n v="2"/>
    <x v="2"/>
    <x v="4"/>
    <x v="2"/>
    <d v="2023-09-07T00:00:00"/>
    <s v="Brandon Norton"/>
    <x v="1"/>
    <s v="Springfield"/>
    <x v="48"/>
    <x v="10"/>
  </r>
  <r>
    <s v="B-26402"/>
    <n v="4314"/>
    <n v="2861"/>
    <n v="1453"/>
    <n v="6"/>
    <x v="2"/>
    <x v="7"/>
    <x v="4"/>
    <d v="2021-08-10T00:00:00"/>
    <s v="Christina Scott"/>
    <x v="0"/>
    <s v="Tampa"/>
    <x v="36"/>
    <x v="9"/>
  </r>
  <r>
    <s v="B-26792"/>
    <n v="3288"/>
    <n v="1811"/>
    <n v="1477"/>
    <n v="3"/>
    <x v="1"/>
    <x v="2"/>
    <x v="2"/>
    <d v="2024-05-26T00:00:00"/>
    <s v="Andrew Macias"/>
    <x v="4"/>
    <s v="Austin"/>
    <x v="3"/>
    <x v="3"/>
  </r>
  <r>
    <s v="B-26792"/>
    <n v="3288"/>
    <n v="1811"/>
    <n v="1477"/>
    <n v="3"/>
    <x v="1"/>
    <x v="2"/>
    <x v="2"/>
    <d v="2022-02-19T00:00:00"/>
    <s v="Alejandro Williams"/>
    <x v="1"/>
    <s v="Springfield"/>
    <x v="26"/>
    <x v="7"/>
  </r>
  <r>
    <s v="B-25154"/>
    <n v="3977"/>
    <n v="3164"/>
    <n v="813"/>
    <n v="5"/>
    <x v="1"/>
    <x v="9"/>
    <x v="3"/>
    <d v="2024-12-09T00:00:00"/>
    <s v="Mark Rodriguez"/>
    <x v="2"/>
    <s v="New York City"/>
    <x v="1"/>
    <x v="1"/>
  </r>
  <r>
    <s v="B-26114"/>
    <n v="6252"/>
    <n v="4875"/>
    <n v="1377"/>
    <n v="2"/>
    <x v="0"/>
    <x v="1"/>
    <x v="2"/>
    <d v="2023-06-01T00:00:00"/>
    <s v="Sarah Montgomery"/>
    <x v="1"/>
    <s v="Chicago"/>
    <x v="0"/>
    <x v="0"/>
  </r>
  <r>
    <s v="B-26485"/>
    <n v="9084"/>
    <n v="5831"/>
    <n v="3253"/>
    <n v="12"/>
    <x v="1"/>
    <x v="2"/>
    <x v="1"/>
    <d v="2023-11-05T00:00:00"/>
    <s v="Marisa Prince"/>
    <x v="2"/>
    <s v="Buffalo"/>
    <x v="6"/>
    <x v="5"/>
  </r>
  <r>
    <s v="B-26191"/>
    <n v="8994"/>
    <n v="7513"/>
    <n v="1481"/>
    <n v="15"/>
    <x v="0"/>
    <x v="10"/>
    <x v="3"/>
    <d v="2020-06-21T00:00:00"/>
    <s v="James Bonilla"/>
    <x v="3"/>
    <s v="San Diego"/>
    <x v="53"/>
    <x v="0"/>
  </r>
  <r>
    <s v="B-26754"/>
    <n v="1089"/>
    <n v="913"/>
    <n v="176"/>
    <n v="16"/>
    <x v="1"/>
    <x v="6"/>
    <x v="2"/>
    <d v="2020-10-26T00:00:00"/>
    <s v="Robin Myers"/>
    <x v="4"/>
    <s v="Dallas"/>
    <x v="20"/>
    <x v="4"/>
  </r>
  <r>
    <s v="B-25953"/>
    <n v="6690"/>
    <n v="5689"/>
    <n v="1001"/>
    <n v="19"/>
    <x v="1"/>
    <x v="9"/>
    <x v="0"/>
    <d v="2022-06-06T00:00:00"/>
    <s v="Nancy Sanchez"/>
    <x v="1"/>
    <s v="Springfield"/>
    <x v="33"/>
    <x v="0"/>
  </r>
  <r>
    <s v="B-25953"/>
    <n v="6690"/>
    <n v="5689"/>
    <n v="1001"/>
    <n v="19"/>
    <x v="1"/>
    <x v="9"/>
    <x v="0"/>
    <d v="2021-11-13T00:00:00"/>
    <s v="Sydney Walls"/>
    <x v="1"/>
    <s v="Chicago"/>
    <x v="35"/>
    <x v="5"/>
  </r>
  <r>
    <s v="B-25953"/>
    <n v="4985"/>
    <n v="3065"/>
    <n v="1920"/>
    <n v="10"/>
    <x v="2"/>
    <x v="11"/>
    <x v="3"/>
    <d v="2022-06-06T00:00:00"/>
    <s v="Nancy Sanchez"/>
    <x v="1"/>
    <s v="Springfield"/>
    <x v="33"/>
    <x v="0"/>
  </r>
  <r>
    <s v="B-25953"/>
    <n v="4985"/>
    <n v="3065"/>
    <n v="1920"/>
    <n v="10"/>
    <x v="2"/>
    <x v="11"/>
    <x v="3"/>
    <d v="2021-11-13T00:00:00"/>
    <s v="Sydney Walls"/>
    <x v="1"/>
    <s v="Chicago"/>
    <x v="35"/>
    <x v="5"/>
  </r>
  <r>
    <s v="B-26516"/>
    <n v="8590"/>
    <n v="5025"/>
    <n v="3565"/>
    <n v="15"/>
    <x v="0"/>
    <x v="0"/>
    <x v="2"/>
    <d v="2021-11-11T00:00:00"/>
    <s v="Deborah Hoffman"/>
    <x v="0"/>
    <s v="Miami"/>
    <x v="35"/>
    <x v="5"/>
  </r>
  <r>
    <s v="B-26516"/>
    <n v="6973"/>
    <n v="3935"/>
    <n v="3038"/>
    <n v="10"/>
    <x v="2"/>
    <x v="4"/>
    <x v="4"/>
    <d v="2021-11-11T00:00:00"/>
    <s v="Deborah Hoffman"/>
    <x v="0"/>
    <s v="Miami"/>
    <x v="35"/>
    <x v="5"/>
  </r>
  <r>
    <s v="B-26843"/>
    <n v="4591"/>
    <n v="2650"/>
    <n v="1941"/>
    <n v="19"/>
    <x v="0"/>
    <x v="1"/>
    <x v="2"/>
    <d v="2021-07-31T00:00:00"/>
    <s v="Megan Williams"/>
    <x v="4"/>
    <s v="Dallas"/>
    <x v="2"/>
    <x v="2"/>
  </r>
  <r>
    <s v="B-26843"/>
    <n v="9612"/>
    <n v="7040"/>
    <n v="2572"/>
    <n v="17"/>
    <x v="1"/>
    <x v="2"/>
    <x v="3"/>
    <d v="2021-07-31T00:00:00"/>
    <s v="Megan Williams"/>
    <x v="4"/>
    <s v="Dallas"/>
    <x v="2"/>
    <x v="2"/>
  </r>
  <r>
    <s v="B-26167"/>
    <n v="5343"/>
    <n v="4688"/>
    <n v="655"/>
    <n v="1"/>
    <x v="2"/>
    <x v="5"/>
    <x v="2"/>
    <d v="2024-04-13T00:00:00"/>
    <s v="Shane Clark"/>
    <x v="3"/>
    <s v="San Diego"/>
    <x v="44"/>
    <x v="11"/>
  </r>
  <r>
    <s v="B-26972"/>
    <n v="6956"/>
    <n v="6638"/>
    <n v="318"/>
    <n v="20"/>
    <x v="1"/>
    <x v="6"/>
    <x v="1"/>
    <d v="2022-04-19T00:00:00"/>
    <s v="Steven Haynes"/>
    <x v="1"/>
    <s v="Springfield"/>
    <x v="39"/>
    <x v="11"/>
  </r>
  <r>
    <s v="B-25673"/>
    <n v="5306"/>
    <n v="2901"/>
    <n v="2405"/>
    <n v="17"/>
    <x v="2"/>
    <x v="4"/>
    <x v="2"/>
    <d v="2024-03-23T00:00:00"/>
    <s v="Kimberly Fuller"/>
    <x v="2"/>
    <s v="Buffalo"/>
    <x v="55"/>
    <x v="6"/>
  </r>
  <r>
    <s v="B-26587"/>
    <n v="8982"/>
    <n v="8534"/>
    <n v="448"/>
    <n v="17"/>
    <x v="2"/>
    <x v="7"/>
    <x v="0"/>
    <d v="2021-05-07T00:00:00"/>
    <s v="Angela Lyons"/>
    <x v="2"/>
    <s v="New York City"/>
    <x v="18"/>
    <x v="3"/>
  </r>
  <r>
    <s v="B-26587"/>
    <n v="4826"/>
    <n v="4264"/>
    <n v="562"/>
    <n v="5"/>
    <x v="1"/>
    <x v="8"/>
    <x v="1"/>
    <d v="2021-05-07T00:00:00"/>
    <s v="Angela Lyons"/>
    <x v="2"/>
    <s v="New York City"/>
    <x v="18"/>
    <x v="3"/>
  </r>
  <r>
    <s v="B-26668"/>
    <n v="972"/>
    <n v="866"/>
    <n v="106"/>
    <n v="15"/>
    <x v="1"/>
    <x v="2"/>
    <x v="2"/>
    <d v="2022-05-06T00:00:00"/>
    <s v="Betty Tucker"/>
    <x v="5"/>
    <s v="Cincinnati"/>
    <x v="37"/>
    <x v="3"/>
  </r>
  <r>
    <s v="B-26906"/>
    <n v="3665"/>
    <n v="2863"/>
    <n v="802"/>
    <n v="4"/>
    <x v="1"/>
    <x v="6"/>
    <x v="3"/>
    <d v="2021-08-09T00:00:00"/>
    <s v="Brianna Hunt"/>
    <x v="0"/>
    <s v="Miami"/>
    <x v="36"/>
    <x v="9"/>
  </r>
  <r>
    <s v="B-26906"/>
    <n v="3665"/>
    <n v="2863"/>
    <n v="802"/>
    <n v="4"/>
    <x v="1"/>
    <x v="6"/>
    <x v="3"/>
    <d v="2025-02-09T00:00:00"/>
    <s v="Cathy Clark"/>
    <x v="0"/>
    <s v="Tampa"/>
    <x v="9"/>
    <x v="7"/>
  </r>
  <r>
    <s v="B-25226"/>
    <n v="9808"/>
    <n v="7691"/>
    <n v="2117"/>
    <n v="2"/>
    <x v="1"/>
    <x v="2"/>
    <x v="0"/>
    <d v="2024-04-23T00:00:00"/>
    <s v="Nicole Warren"/>
    <x v="3"/>
    <s v="Los Angeles"/>
    <x v="44"/>
    <x v="11"/>
  </r>
  <r>
    <s v="B-25166"/>
    <n v="1133"/>
    <n v="1060"/>
    <n v="73"/>
    <n v="17"/>
    <x v="2"/>
    <x v="5"/>
    <x v="0"/>
    <d v="2023-02-23T00:00:00"/>
    <s v="Richard Castaneda"/>
    <x v="5"/>
    <s v="Cleveland"/>
    <x v="14"/>
    <x v="7"/>
  </r>
  <r>
    <s v="B-25166"/>
    <n v="1133"/>
    <n v="1060"/>
    <n v="73"/>
    <n v="17"/>
    <x v="2"/>
    <x v="5"/>
    <x v="0"/>
    <d v="2024-06-06T00:00:00"/>
    <s v="Sarah Torres"/>
    <x v="3"/>
    <s v="San Diego"/>
    <x v="47"/>
    <x v="0"/>
  </r>
  <r>
    <s v="B-25166"/>
    <n v="6248"/>
    <n v="5080"/>
    <n v="1168"/>
    <n v="19"/>
    <x v="2"/>
    <x v="11"/>
    <x v="4"/>
    <d v="2023-02-23T00:00:00"/>
    <s v="Richard Castaneda"/>
    <x v="5"/>
    <s v="Cleveland"/>
    <x v="14"/>
    <x v="7"/>
  </r>
  <r>
    <s v="B-25166"/>
    <n v="6248"/>
    <n v="5080"/>
    <n v="1168"/>
    <n v="19"/>
    <x v="2"/>
    <x v="11"/>
    <x v="4"/>
    <d v="2024-06-06T00:00:00"/>
    <s v="Sarah Torres"/>
    <x v="3"/>
    <s v="San Diego"/>
    <x v="47"/>
    <x v="0"/>
  </r>
  <r>
    <s v="B-25454"/>
    <n v="5666"/>
    <n v="2933"/>
    <n v="2733"/>
    <n v="17"/>
    <x v="0"/>
    <x v="0"/>
    <x v="3"/>
    <d v="2025-01-27T00:00:00"/>
    <s v="Vanessa Deleon"/>
    <x v="0"/>
    <s v="Tampa"/>
    <x v="52"/>
    <x v="8"/>
  </r>
  <r>
    <s v="B-26215"/>
    <n v="4171"/>
    <n v="2721"/>
    <n v="1450"/>
    <n v="18"/>
    <x v="1"/>
    <x v="6"/>
    <x v="4"/>
    <d v="2023-04-07T00:00:00"/>
    <s v="Richard Lyons"/>
    <x v="4"/>
    <s v="Dallas"/>
    <x v="28"/>
    <x v="11"/>
  </r>
  <r>
    <s v="B-25777"/>
    <n v="6236"/>
    <n v="3397"/>
    <n v="2839"/>
    <n v="7"/>
    <x v="0"/>
    <x v="1"/>
    <x v="3"/>
    <d v="2022-01-20T00:00:00"/>
    <s v="Eric Adams"/>
    <x v="1"/>
    <s v="Springfield"/>
    <x v="12"/>
    <x v="8"/>
  </r>
  <r>
    <s v="B-25777"/>
    <n v="6236"/>
    <n v="3397"/>
    <n v="2839"/>
    <n v="7"/>
    <x v="0"/>
    <x v="1"/>
    <x v="3"/>
    <d v="2022-05-10T00:00:00"/>
    <s v="Chad Brown"/>
    <x v="0"/>
    <s v="Orlando"/>
    <x v="37"/>
    <x v="3"/>
  </r>
  <r>
    <s v="B-25383"/>
    <n v="5410"/>
    <n v="2954"/>
    <n v="2456"/>
    <n v="8"/>
    <x v="2"/>
    <x v="5"/>
    <x v="3"/>
    <d v="2024-05-29T00:00:00"/>
    <s v="Kayla Becker"/>
    <x v="3"/>
    <s v="Los Angeles"/>
    <x v="3"/>
    <x v="3"/>
  </r>
  <r>
    <s v="B-25383"/>
    <n v="5410"/>
    <n v="2954"/>
    <n v="2456"/>
    <n v="8"/>
    <x v="2"/>
    <x v="5"/>
    <x v="3"/>
    <d v="2022-01-04T00:00:00"/>
    <s v="Ashley Freeman"/>
    <x v="0"/>
    <s v="Tampa"/>
    <x v="12"/>
    <x v="8"/>
  </r>
  <r>
    <s v="B-26409"/>
    <n v="3024"/>
    <n v="1671"/>
    <n v="1353"/>
    <n v="1"/>
    <x v="2"/>
    <x v="7"/>
    <x v="3"/>
    <d v="2024-05-02T00:00:00"/>
    <s v="Scott Harris"/>
    <x v="3"/>
    <s v="Los Angeles"/>
    <x v="3"/>
    <x v="3"/>
  </r>
  <r>
    <s v="B-26409"/>
    <n v="3024"/>
    <n v="1671"/>
    <n v="1353"/>
    <n v="1"/>
    <x v="2"/>
    <x v="7"/>
    <x v="3"/>
    <d v="2021-12-28T00:00:00"/>
    <s v="John James"/>
    <x v="5"/>
    <s v="Columbus"/>
    <x v="13"/>
    <x v="1"/>
  </r>
  <r>
    <s v="B-26684"/>
    <n v="7434"/>
    <n v="4583"/>
    <n v="2851"/>
    <n v="5"/>
    <x v="1"/>
    <x v="6"/>
    <x v="0"/>
    <d v="2022-12-12T00:00:00"/>
    <s v="Jesse Bond"/>
    <x v="1"/>
    <s v="Springfield"/>
    <x v="29"/>
    <x v="1"/>
  </r>
  <r>
    <s v="B-26726"/>
    <n v="7213"/>
    <n v="6705"/>
    <n v="508"/>
    <n v="19"/>
    <x v="0"/>
    <x v="0"/>
    <x v="1"/>
    <d v="2023-08-17T00:00:00"/>
    <s v="Brandon Hughes"/>
    <x v="4"/>
    <s v="Dallas"/>
    <x v="21"/>
    <x v="9"/>
  </r>
  <r>
    <s v="B-26726"/>
    <n v="7213"/>
    <n v="6705"/>
    <n v="508"/>
    <n v="19"/>
    <x v="0"/>
    <x v="0"/>
    <x v="1"/>
    <d v="2021-11-29T00:00:00"/>
    <s v="Lynn Reynolds"/>
    <x v="5"/>
    <s v="Cincinnati"/>
    <x v="35"/>
    <x v="5"/>
  </r>
  <r>
    <s v="B-26726"/>
    <n v="3176"/>
    <n v="2590"/>
    <n v="586"/>
    <n v="9"/>
    <x v="2"/>
    <x v="4"/>
    <x v="2"/>
    <d v="2023-08-17T00:00:00"/>
    <s v="Brandon Hughes"/>
    <x v="4"/>
    <s v="Dallas"/>
    <x v="21"/>
    <x v="9"/>
  </r>
  <r>
    <s v="B-26726"/>
    <n v="3176"/>
    <n v="2590"/>
    <n v="586"/>
    <n v="9"/>
    <x v="2"/>
    <x v="4"/>
    <x v="2"/>
    <d v="2021-11-29T00:00:00"/>
    <s v="Lynn Reynolds"/>
    <x v="5"/>
    <s v="Cincinnati"/>
    <x v="35"/>
    <x v="5"/>
  </r>
  <r>
    <s v="B-26136"/>
    <n v="9144"/>
    <n v="6924"/>
    <n v="2220"/>
    <n v="18"/>
    <x v="1"/>
    <x v="9"/>
    <x v="3"/>
    <d v="2021-06-13T00:00:00"/>
    <s v="Ronald Good"/>
    <x v="0"/>
    <s v="Miami"/>
    <x v="22"/>
    <x v="0"/>
  </r>
  <r>
    <s v="B-26098"/>
    <n v="4146"/>
    <n v="3281"/>
    <n v="865"/>
    <n v="19"/>
    <x v="2"/>
    <x v="4"/>
    <x v="2"/>
    <d v="2022-07-04T00:00:00"/>
    <s v="Kyle Baker"/>
    <x v="4"/>
    <s v="Houston"/>
    <x v="58"/>
    <x v="2"/>
  </r>
  <r>
    <s v="B-26098"/>
    <n v="3793"/>
    <n v="2918"/>
    <n v="875"/>
    <n v="7"/>
    <x v="2"/>
    <x v="4"/>
    <x v="2"/>
    <d v="2022-07-04T00:00:00"/>
    <s v="Kyle Baker"/>
    <x v="4"/>
    <s v="Houston"/>
    <x v="58"/>
    <x v="2"/>
  </r>
  <r>
    <s v="B-25430"/>
    <n v="7169"/>
    <n v="4784"/>
    <n v="2385"/>
    <n v="11"/>
    <x v="2"/>
    <x v="7"/>
    <x v="4"/>
    <d v="2021-06-27T00:00:00"/>
    <s v="Michael Rivera"/>
    <x v="3"/>
    <s v="Los Angeles"/>
    <x v="22"/>
    <x v="0"/>
  </r>
  <r>
    <s v="B-25430"/>
    <n v="4046"/>
    <n v="3629"/>
    <n v="417"/>
    <n v="18"/>
    <x v="2"/>
    <x v="5"/>
    <x v="3"/>
    <d v="2021-06-27T00:00:00"/>
    <s v="Michael Rivera"/>
    <x v="3"/>
    <s v="Los Angeles"/>
    <x v="22"/>
    <x v="0"/>
  </r>
  <r>
    <s v="B-25266"/>
    <n v="4164"/>
    <n v="3259"/>
    <n v="905"/>
    <n v="11"/>
    <x v="0"/>
    <x v="10"/>
    <x v="4"/>
    <d v="2023-12-04T00:00:00"/>
    <s v="Lori Adkins"/>
    <x v="3"/>
    <s v="San Diego"/>
    <x v="16"/>
    <x v="1"/>
  </r>
  <r>
    <s v="B-25266"/>
    <n v="5389"/>
    <n v="3193"/>
    <n v="2196"/>
    <n v="5"/>
    <x v="2"/>
    <x v="4"/>
    <x v="0"/>
    <d v="2023-12-04T00:00:00"/>
    <s v="Lori Adkins"/>
    <x v="3"/>
    <s v="San Diego"/>
    <x v="16"/>
    <x v="1"/>
  </r>
  <r>
    <s v="B-25283"/>
    <n v="5448"/>
    <n v="3244"/>
    <n v="2204"/>
    <n v="5"/>
    <x v="2"/>
    <x v="7"/>
    <x v="4"/>
    <d v="2022-08-09T00:00:00"/>
    <s v="Luis Warner"/>
    <x v="2"/>
    <s v="New York City"/>
    <x v="40"/>
    <x v="9"/>
  </r>
  <r>
    <s v="B-25227"/>
    <n v="4115"/>
    <n v="2830"/>
    <n v="1285"/>
    <n v="1"/>
    <x v="2"/>
    <x v="7"/>
    <x v="0"/>
    <d v="2020-04-08T00:00:00"/>
    <s v="Donald Perry"/>
    <x v="0"/>
    <s v="Orlando"/>
    <x v="32"/>
    <x v="11"/>
  </r>
  <r>
    <s v="B-25227"/>
    <n v="4761"/>
    <n v="2530"/>
    <n v="2231"/>
    <n v="12"/>
    <x v="2"/>
    <x v="4"/>
    <x v="0"/>
    <d v="2020-04-08T00:00:00"/>
    <s v="Donald Perry"/>
    <x v="0"/>
    <s v="Orlando"/>
    <x v="32"/>
    <x v="11"/>
  </r>
  <r>
    <s v="B-25669"/>
    <n v="5899"/>
    <n v="3635"/>
    <n v="2264"/>
    <n v="6"/>
    <x v="1"/>
    <x v="9"/>
    <x v="2"/>
    <d v="2023-10-20T00:00:00"/>
    <s v="Adam Stevens"/>
    <x v="2"/>
    <s v="Buffalo"/>
    <x v="59"/>
    <x v="4"/>
  </r>
  <r>
    <s v="B-25064"/>
    <n v="6109"/>
    <n v="3069"/>
    <n v="3040"/>
    <n v="9"/>
    <x v="2"/>
    <x v="5"/>
    <x v="2"/>
    <d v="2022-02-10T00:00:00"/>
    <s v="Kimberly Johnson"/>
    <x v="2"/>
    <s v="Buffalo"/>
    <x v="26"/>
    <x v="7"/>
  </r>
  <r>
    <s v="B-25064"/>
    <n v="6109"/>
    <n v="3069"/>
    <n v="3040"/>
    <n v="9"/>
    <x v="2"/>
    <x v="5"/>
    <x v="2"/>
    <d v="2023-10-05T00:00:00"/>
    <s v="Kelly Jones"/>
    <x v="2"/>
    <s v="Rochester"/>
    <x v="59"/>
    <x v="4"/>
  </r>
  <r>
    <s v="B-25064"/>
    <n v="4628"/>
    <n v="3137"/>
    <n v="1491"/>
    <n v="17"/>
    <x v="0"/>
    <x v="0"/>
    <x v="0"/>
    <d v="2022-02-10T00:00:00"/>
    <s v="Kimberly Johnson"/>
    <x v="2"/>
    <s v="Buffalo"/>
    <x v="26"/>
    <x v="7"/>
  </r>
  <r>
    <s v="B-25064"/>
    <n v="4628"/>
    <n v="3137"/>
    <n v="1491"/>
    <n v="17"/>
    <x v="0"/>
    <x v="0"/>
    <x v="0"/>
    <d v="2023-10-05T00:00:00"/>
    <s v="Kelly Jones"/>
    <x v="2"/>
    <s v="Rochester"/>
    <x v="59"/>
    <x v="4"/>
  </r>
  <r>
    <s v="B-26268"/>
    <n v="4369"/>
    <n v="3785"/>
    <n v="584"/>
    <n v="13"/>
    <x v="1"/>
    <x v="2"/>
    <x v="3"/>
    <d v="2022-09-22T00:00:00"/>
    <s v="Ashley Petty"/>
    <x v="1"/>
    <s v="Peoria"/>
    <x v="24"/>
    <x v="10"/>
  </r>
  <r>
    <s v="B-26268"/>
    <n v="4369"/>
    <n v="3785"/>
    <n v="584"/>
    <n v="13"/>
    <x v="1"/>
    <x v="2"/>
    <x v="3"/>
    <d v="2021-04-03T00:00:00"/>
    <s v="Crystal Ross"/>
    <x v="4"/>
    <s v="Austin"/>
    <x v="27"/>
    <x v="11"/>
  </r>
  <r>
    <s v="B-25456"/>
    <n v="5632"/>
    <n v="3274"/>
    <n v="2358"/>
    <n v="20"/>
    <x v="2"/>
    <x v="7"/>
    <x v="3"/>
    <d v="2021-05-03T00:00:00"/>
    <s v="Alexis Duffy"/>
    <x v="3"/>
    <s v="Los Angeles"/>
    <x v="18"/>
    <x v="3"/>
  </r>
  <r>
    <s v="B-25456"/>
    <n v="5632"/>
    <n v="3274"/>
    <n v="2358"/>
    <n v="20"/>
    <x v="2"/>
    <x v="7"/>
    <x v="3"/>
    <d v="2024-02-11T00:00:00"/>
    <s v="Stephanie Sanchez"/>
    <x v="0"/>
    <s v="Miami"/>
    <x v="42"/>
    <x v="7"/>
  </r>
  <r>
    <s v="B-25456"/>
    <n v="5632"/>
    <n v="3274"/>
    <n v="2358"/>
    <n v="20"/>
    <x v="2"/>
    <x v="7"/>
    <x v="3"/>
    <d v="2025-02-04T00:00:00"/>
    <s v="Reginald Espinoza"/>
    <x v="5"/>
    <s v="Cleveland"/>
    <x v="9"/>
    <x v="7"/>
  </r>
  <r>
    <s v="B-25495"/>
    <n v="7519"/>
    <n v="7117"/>
    <n v="402"/>
    <n v="14"/>
    <x v="1"/>
    <x v="8"/>
    <x v="0"/>
    <d v="2022-10-12T00:00:00"/>
    <s v="Sandra Hicks"/>
    <x v="3"/>
    <s v="San Diego"/>
    <x v="15"/>
    <x v="4"/>
  </r>
  <r>
    <s v="B-25495"/>
    <n v="1564"/>
    <n v="890"/>
    <n v="674"/>
    <n v="13"/>
    <x v="0"/>
    <x v="0"/>
    <x v="1"/>
    <d v="2022-10-12T00:00:00"/>
    <s v="Sandra Hicks"/>
    <x v="3"/>
    <s v="San Diego"/>
    <x v="15"/>
    <x v="4"/>
  </r>
  <r>
    <s v="B-26552"/>
    <n v="2804"/>
    <n v="1868"/>
    <n v="936"/>
    <n v="10"/>
    <x v="0"/>
    <x v="0"/>
    <x v="3"/>
    <d v="2022-02-06T00:00:00"/>
    <s v="Olivia Orozco"/>
    <x v="4"/>
    <s v="Austin"/>
    <x v="26"/>
    <x v="7"/>
  </r>
  <r>
    <s v="B-26552"/>
    <n v="2804"/>
    <n v="1868"/>
    <n v="936"/>
    <n v="10"/>
    <x v="0"/>
    <x v="0"/>
    <x v="3"/>
    <d v="2020-11-09T00:00:00"/>
    <s v="Larry Moore"/>
    <x v="0"/>
    <s v="Tampa"/>
    <x v="11"/>
    <x v="5"/>
  </r>
  <r>
    <s v="B-26552"/>
    <n v="2804"/>
    <n v="1868"/>
    <n v="936"/>
    <n v="10"/>
    <x v="0"/>
    <x v="0"/>
    <x v="3"/>
    <d v="2023-05-03T00:00:00"/>
    <s v="Mrs. Rachel Cannon DDS"/>
    <x v="0"/>
    <s v="Tampa"/>
    <x v="23"/>
    <x v="3"/>
  </r>
  <r>
    <s v="B-25203"/>
    <n v="2321"/>
    <n v="1816"/>
    <n v="505"/>
    <n v="6"/>
    <x v="2"/>
    <x v="5"/>
    <x v="2"/>
    <d v="2022-10-04T00:00:00"/>
    <s v="Daniel Flowers"/>
    <x v="1"/>
    <s v="Springfield"/>
    <x v="15"/>
    <x v="4"/>
  </r>
  <r>
    <s v="B-25462"/>
    <n v="5730"/>
    <n v="5248"/>
    <n v="482"/>
    <n v="6"/>
    <x v="0"/>
    <x v="3"/>
    <x v="4"/>
    <d v="2024-08-21T00:00:00"/>
    <s v="Randy Acosta"/>
    <x v="0"/>
    <s v="Tampa"/>
    <x v="19"/>
    <x v="9"/>
  </r>
  <r>
    <s v="B-26145"/>
    <n v="7441"/>
    <n v="6574"/>
    <n v="867"/>
    <n v="12"/>
    <x v="2"/>
    <x v="7"/>
    <x v="4"/>
    <d v="2021-11-20T00:00:00"/>
    <s v="Deborah Williams"/>
    <x v="1"/>
    <s v="Chicago"/>
    <x v="35"/>
    <x v="5"/>
  </r>
  <r>
    <s v="B-26145"/>
    <n v="7441"/>
    <n v="6574"/>
    <n v="867"/>
    <n v="12"/>
    <x v="2"/>
    <x v="7"/>
    <x v="4"/>
    <d v="2020-05-13T00:00:00"/>
    <s v="Robert Michael"/>
    <x v="4"/>
    <s v="Austin"/>
    <x v="8"/>
    <x v="3"/>
  </r>
  <r>
    <s v="B-25552"/>
    <n v="1732"/>
    <n v="966"/>
    <n v="766"/>
    <n v="7"/>
    <x v="1"/>
    <x v="9"/>
    <x v="0"/>
    <d v="2023-02-28T00:00:00"/>
    <s v="Danny Ramirez"/>
    <x v="2"/>
    <s v="New York City"/>
    <x v="14"/>
    <x v="7"/>
  </r>
  <r>
    <s v="B-25552"/>
    <n v="8788"/>
    <n v="4844"/>
    <n v="3944"/>
    <n v="19"/>
    <x v="1"/>
    <x v="8"/>
    <x v="2"/>
    <d v="2023-02-28T00:00:00"/>
    <s v="Danny Ramirez"/>
    <x v="2"/>
    <s v="New York City"/>
    <x v="14"/>
    <x v="7"/>
  </r>
  <r>
    <s v="B-26069"/>
    <n v="838"/>
    <n v="567"/>
    <n v="271"/>
    <n v="11"/>
    <x v="1"/>
    <x v="6"/>
    <x v="2"/>
    <d v="2021-01-21T00:00:00"/>
    <s v="Stephen Baker"/>
    <x v="5"/>
    <s v="Columbus"/>
    <x v="49"/>
    <x v="8"/>
  </r>
  <r>
    <s v="B-26069"/>
    <n v="838"/>
    <n v="567"/>
    <n v="271"/>
    <n v="11"/>
    <x v="1"/>
    <x v="6"/>
    <x v="2"/>
    <d v="2022-02-28T00:00:00"/>
    <s v="Jeffrey Wilcox"/>
    <x v="1"/>
    <s v="Peoria"/>
    <x v="26"/>
    <x v="7"/>
  </r>
  <r>
    <s v="B-26069"/>
    <n v="3577"/>
    <n v="2878"/>
    <n v="699"/>
    <n v="2"/>
    <x v="2"/>
    <x v="4"/>
    <x v="0"/>
    <d v="2021-01-21T00:00:00"/>
    <s v="Stephen Baker"/>
    <x v="5"/>
    <s v="Columbus"/>
    <x v="49"/>
    <x v="8"/>
  </r>
  <r>
    <s v="B-26069"/>
    <n v="3577"/>
    <n v="2878"/>
    <n v="699"/>
    <n v="2"/>
    <x v="2"/>
    <x v="4"/>
    <x v="0"/>
    <d v="2022-02-28T00:00:00"/>
    <s v="Jeffrey Wilcox"/>
    <x v="1"/>
    <s v="Peoria"/>
    <x v="26"/>
    <x v="7"/>
  </r>
  <r>
    <s v="B-25120"/>
    <n v="7122"/>
    <n v="5286"/>
    <n v="1836"/>
    <n v="6"/>
    <x v="0"/>
    <x v="10"/>
    <x v="1"/>
    <d v="2024-04-25T00:00:00"/>
    <s v="James Clarke"/>
    <x v="4"/>
    <s v="Dallas"/>
    <x v="44"/>
    <x v="11"/>
  </r>
  <r>
    <s v="B-25120"/>
    <n v="7122"/>
    <n v="5286"/>
    <n v="1836"/>
    <n v="6"/>
    <x v="0"/>
    <x v="10"/>
    <x v="1"/>
    <d v="2023-03-10T00:00:00"/>
    <s v="Julia Gallagher"/>
    <x v="4"/>
    <s v="Houston"/>
    <x v="45"/>
    <x v="6"/>
  </r>
  <r>
    <s v="B-25120"/>
    <n v="7122"/>
    <n v="5286"/>
    <n v="1836"/>
    <n v="6"/>
    <x v="0"/>
    <x v="10"/>
    <x v="1"/>
    <d v="2023-07-10T00:00:00"/>
    <s v="Ronald Frey Jr."/>
    <x v="2"/>
    <s v="New York City"/>
    <x v="17"/>
    <x v="2"/>
  </r>
  <r>
    <s v="B-25120"/>
    <n v="7327"/>
    <n v="4731"/>
    <n v="2596"/>
    <n v="15"/>
    <x v="1"/>
    <x v="6"/>
    <x v="3"/>
    <d v="2024-04-25T00:00:00"/>
    <s v="James Clarke"/>
    <x v="4"/>
    <s v="Dallas"/>
    <x v="44"/>
    <x v="11"/>
  </r>
  <r>
    <s v="B-25120"/>
    <n v="7327"/>
    <n v="4731"/>
    <n v="2596"/>
    <n v="15"/>
    <x v="1"/>
    <x v="6"/>
    <x v="3"/>
    <d v="2023-03-10T00:00:00"/>
    <s v="Julia Gallagher"/>
    <x v="4"/>
    <s v="Houston"/>
    <x v="45"/>
    <x v="6"/>
  </r>
  <r>
    <s v="B-25120"/>
    <n v="7327"/>
    <n v="4731"/>
    <n v="2596"/>
    <n v="15"/>
    <x v="1"/>
    <x v="6"/>
    <x v="3"/>
    <d v="2023-07-10T00:00:00"/>
    <s v="Ronald Frey Jr."/>
    <x v="2"/>
    <s v="New York City"/>
    <x v="17"/>
    <x v="2"/>
  </r>
  <r>
    <s v="B-26146"/>
    <n v="2239"/>
    <n v="1145"/>
    <n v="1094"/>
    <n v="18"/>
    <x v="0"/>
    <x v="1"/>
    <x v="4"/>
    <d v="2024-07-28T00:00:00"/>
    <s v="Megan Charles"/>
    <x v="0"/>
    <s v="Tampa"/>
    <x v="41"/>
    <x v="2"/>
  </r>
  <r>
    <s v="B-26146"/>
    <n v="4932"/>
    <n v="3779"/>
    <n v="1153"/>
    <n v="1"/>
    <x v="1"/>
    <x v="6"/>
    <x v="4"/>
    <d v="2024-07-28T00:00:00"/>
    <s v="Megan Charles"/>
    <x v="0"/>
    <s v="Tampa"/>
    <x v="41"/>
    <x v="2"/>
  </r>
  <r>
    <s v="B-25549"/>
    <n v="4609"/>
    <n v="3525"/>
    <n v="1084"/>
    <n v="8"/>
    <x v="0"/>
    <x v="1"/>
    <x v="0"/>
    <d v="2023-07-30T00:00:00"/>
    <s v="Amy Duran MD"/>
    <x v="0"/>
    <s v="Orlando"/>
    <x v="17"/>
    <x v="2"/>
  </r>
  <r>
    <s v="B-25549"/>
    <n v="2328"/>
    <n v="1540"/>
    <n v="788"/>
    <n v="4"/>
    <x v="1"/>
    <x v="8"/>
    <x v="0"/>
    <d v="2023-07-30T00:00:00"/>
    <s v="Amy Duran MD"/>
    <x v="0"/>
    <s v="Orlando"/>
    <x v="17"/>
    <x v="2"/>
  </r>
  <r>
    <s v="B-25549"/>
    <n v="4734"/>
    <n v="3776"/>
    <n v="958"/>
    <n v="7"/>
    <x v="0"/>
    <x v="1"/>
    <x v="1"/>
    <d v="2023-07-30T00:00:00"/>
    <s v="Amy Duran MD"/>
    <x v="0"/>
    <s v="Orlando"/>
    <x v="17"/>
    <x v="2"/>
  </r>
  <r>
    <s v="B-25488"/>
    <n v="1388"/>
    <n v="1043"/>
    <n v="345"/>
    <n v="5"/>
    <x v="2"/>
    <x v="7"/>
    <x v="0"/>
    <d v="2024-10-05T00:00:00"/>
    <s v="Christopher Thomas"/>
    <x v="2"/>
    <s v="New York City"/>
    <x v="56"/>
    <x v="4"/>
  </r>
  <r>
    <s v="B-25488"/>
    <n v="8555"/>
    <n v="6917"/>
    <n v="1638"/>
    <n v="8"/>
    <x v="0"/>
    <x v="3"/>
    <x v="3"/>
    <d v="2024-10-05T00:00:00"/>
    <s v="Christopher Thomas"/>
    <x v="2"/>
    <s v="New York City"/>
    <x v="56"/>
    <x v="4"/>
  </r>
  <r>
    <s v="B-26885"/>
    <n v="9024"/>
    <n v="8294"/>
    <n v="730"/>
    <n v="4"/>
    <x v="2"/>
    <x v="4"/>
    <x v="3"/>
    <d v="2024-02-20T00:00:00"/>
    <s v="Peter Castro"/>
    <x v="4"/>
    <s v="Dallas"/>
    <x v="42"/>
    <x v="7"/>
  </r>
  <r>
    <s v="B-26885"/>
    <n v="2468"/>
    <n v="2050"/>
    <n v="418"/>
    <n v="4"/>
    <x v="0"/>
    <x v="3"/>
    <x v="3"/>
    <d v="2024-02-20T00:00:00"/>
    <s v="Peter Castro"/>
    <x v="4"/>
    <s v="Dallas"/>
    <x v="42"/>
    <x v="7"/>
  </r>
  <r>
    <s v="B-25703"/>
    <n v="9438"/>
    <n v="7637"/>
    <n v="1801"/>
    <n v="4"/>
    <x v="0"/>
    <x v="0"/>
    <x v="4"/>
    <d v="2023-04-19T00:00:00"/>
    <s v="Steven Acosta"/>
    <x v="0"/>
    <s v="Orlando"/>
    <x v="28"/>
    <x v="11"/>
  </r>
  <r>
    <s v="B-25703"/>
    <n v="9438"/>
    <n v="7637"/>
    <n v="1801"/>
    <n v="4"/>
    <x v="0"/>
    <x v="0"/>
    <x v="4"/>
    <d v="2023-10-29T00:00:00"/>
    <s v="Lindsay Jackson"/>
    <x v="4"/>
    <s v="Austin"/>
    <x v="59"/>
    <x v="4"/>
  </r>
  <r>
    <s v="B-25809"/>
    <n v="2685"/>
    <n v="2306"/>
    <n v="379"/>
    <n v="18"/>
    <x v="0"/>
    <x v="10"/>
    <x v="0"/>
    <d v="2022-03-08T00:00:00"/>
    <s v="Kelly Smith"/>
    <x v="5"/>
    <s v="Cleveland"/>
    <x v="25"/>
    <x v="6"/>
  </r>
  <r>
    <s v="B-25809"/>
    <n v="2685"/>
    <n v="2306"/>
    <n v="379"/>
    <n v="18"/>
    <x v="0"/>
    <x v="10"/>
    <x v="0"/>
    <d v="2022-12-08T00:00:00"/>
    <s v="Sabrina Hartman"/>
    <x v="0"/>
    <s v="Tampa"/>
    <x v="29"/>
    <x v="1"/>
  </r>
  <r>
    <s v="B-25809"/>
    <n v="9916"/>
    <n v="5314"/>
    <n v="4602"/>
    <n v="14"/>
    <x v="2"/>
    <x v="5"/>
    <x v="0"/>
    <d v="2022-03-08T00:00:00"/>
    <s v="Kelly Smith"/>
    <x v="5"/>
    <s v="Cleveland"/>
    <x v="25"/>
    <x v="6"/>
  </r>
  <r>
    <s v="B-25809"/>
    <n v="9916"/>
    <n v="5314"/>
    <n v="4602"/>
    <n v="14"/>
    <x v="2"/>
    <x v="5"/>
    <x v="0"/>
    <d v="2022-12-08T00:00:00"/>
    <s v="Sabrina Hartman"/>
    <x v="0"/>
    <s v="Tampa"/>
    <x v="29"/>
    <x v="1"/>
  </r>
  <r>
    <s v="B-25809"/>
    <n v="6184"/>
    <n v="6134"/>
    <n v="50"/>
    <n v="14"/>
    <x v="0"/>
    <x v="0"/>
    <x v="3"/>
    <d v="2022-03-08T00:00:00"/>
    <s v="Kelly Smith"/>
    <x v="5"/>
    <s v="Cleveland"/>
    <x v="25"/>
    <x v="6"/>
  </r>
  <r>
    <s v="B-25809"/>
    <n v="6184"/>
    <n v="6134"/>
    <n v="50"/>
    <n v="14"/>
    <x v="0"/>
    <x v="0"/>
    <x v="3"/>
    <d v="2022-12-08T00:00:00"/>
    <s v="Sabrina Hartman"/>
    <x v="0"/>
    <s v="Tampa"/>
    <x v="29"/>
    <x v="1"/>
  </r>
  <r>
    <s v="B-25809"/>
    <n v="4548"/>
    <n v="2413"/>
    <n v="2135"/>
    <n v="8"/>
    <x v="1"/>
    <x v="6"/>
    <x v="1"/>
    <d v="2022-03-08T00:00:00"/>
    <s v="Kelly Smith"/>
    <x v="5"/>
    <s v="Cleveland"/>
    <x v="25"/>
    <x v="6"/>
  </r>
  <r>
    <s v="B-25809"/>
    <n v="4548"/>
    <n v="2413"/>
    <n v="2135"/>
    <n v="8"/>
    <x v="1"/>
    <x v="6"/>
    <x v="1"/>
    <d v="2022-12-08T00:00:00"/>
    <s v="Sabrina Hartman"/>
    <x v="0"/>
    <s v="Tampa"/>
    <x v="29"/>
    <x v="1"/>
  </r>
  <r>
    <s v="B-25477"/>
    <n v="7195"/>
    <n v="5530"/>
    <n v="1665"/>
    <n v="7"/>
    <x v="1"/>
    <x v="6"/>
    <x v="4"/>
    <d v="2024-07-27T00:00:00"/>
    <s v="Cynthia Smith"/>
    <x v="2"/>
    <s v="Rochester"/>
    <x v="41"/>
    <x v="2"/>
  </r>
  <r>
    <s v="B-25477"/>
    <n v="7195"/>
    <n v="5530"/>
    <n v="1665"/>
    <n v="7"/>
    <x v="1"/>
    <x v="6"/>
    <x v="4"/>
    <d v="2022-07-05T00:00:00"/>
    <s v="Olivia Dickerson"/>
    <x v="2"/>
    <s v="Buffalo"/>
    <x v="58"/>
    <x v="2"/>
  </r>
  <r>
    <s v="B-26018"/>
    <n v="3098"/>
    <n v="2141"/>
    <n v="957"/>
    <n v="18"/>
    <x v="2"/>
    <x v="11"/>
    <x v="4"/>
    <d v="2024-07-04T00:00:00"/>
    <s v="Whitney Stout"/>
    <x v="4"/>
    <s v="Austin"/>
    <x v="41"/>
    <x v="2"/>
  </r>
  <r>
    <s v="B-25329"/>
    <n v="5412"/>
    <n v="4220"/>
    <n v="1192"/>
    <n v="18"/>
    <x v="2"/>
    <x v="4"/>
    <x v="3"/>
    <d v="2024-02-28T00:00:00"/>
    <s v="Stephanie Flores"/>
    <x v="3"/>
    <s v="San Diego"/>
    <x v="42"/>
    <x v="7"/>
  </r>
  <r>
    <s v="B-25329"/>
    <n v="5412"/>
    <n v="4220"/>
    <n v="1192"/>
    <n v="18"/>
    <x v="2"/>
    <x v="4"/>
    <x v="3"/>
    <d v="2025-01-03T00:00:00"/>
    <s v="Gregory English"/>
    <x v="3"/>
    <s v="Los Angeles"/>
    <x v="52"/>
    <x v="8"/>
  </r>
  <r>
    <s v="B-25182"/>
    <n v="1397"/>
    <n v="711"/>
    <n v="686"/>
    <n v="11"/>
    <x v="2"/>
    <x v="5"/>
    <x v="3"/>
    <d v="2021-12-07T00:00:00"/>
    <s v="Natalie Maxwell"/>
    <x v="2"/>
    <s v="New York City"/>
    <x v="13"/>
    <x v="1"/>
  </r>
  <r>
    <s v="B-25492"/>
    <n v="9279"/>
    <n v="8727"/>
    <n v="552"/>
    <n v="14"/>
    <x v="2"/>
    <x v="5"/>
    <x v="2"/>
    <d v="2021-12-14T00:00:00"/>
    <s v="Tina Blake"/>
    <x v="2"/>
    <s v="Buffalo"/>
    <x v="13"/>
    <x v="1"/>
  </r>
  <r>
    <s v="B-25492"/>
    <n v="9279"/>
    <n v="8727"/>
    <n v="552"/>
    <n v="14"/>
    <x v="2"/>
    <x v="5"/>
    <x v="2"/>
    <d v="2020-11-30T00:00:00"/>
    <s v="Clarence Cooke"/>
    <x v="3"/>
    <s v="San Francisco"/>
    <x v="11"/>
    <x v="5"/>
  </r>
  <r>
    <s v="B-25492"/>
    <n v="2596"/>
    <n v="1593"/>
    <n v="1003"/>
    <n v="19"/>
    <x v="1"/>
    <x v="8"/>
    <x v="3"/>
    <d v="2021-12-14T00:00:00"/>
    <s v="Tina Blake"/>
    <x v="2"/>
    <s v="Buffalo"/>
    <x v="13"/>
    <x v="1"/>
  </r>
  <r>
    <s v="B-25492"/>
    <n v="2596"/>
    <n v="1593"/>
    <n v="1003"/>
    <n v="19"/>
    <x v="1"/>
    <x v="8"/>
    <x v="3"/>
    <d v="2020-11-30T00:00:00"/>
    <s v="Clarence Cooke"/>
    <x v="3"/>
    <s v="San Francisco"/>
    <x v="11"/>
    <x v="5"/>
  </r>
  <r>
    <s v="B-25517"/>
    <n v="6732"/>
    <n v="5821"/>
    <n v="911"/>
    <n v="19"/>
    <x v="2"/>
    <x v="11"/>
    <x v="2"/>
    <d v="2021-12-29T00:00:00"/>
    <s v="Tamara Guzman"/>
    <x v="2"/>
    <s v="Buffalo"/>
    <x v="13"/>
    <x v="1"/>
  </r>
  <r>
    <s v="B-25517"/>
    <n v="4495"/>
    <n v="3087"/>
    <n v="1408"/>
    <n v="14"/>
    <x v="1"/>
    <x v="2"/>
    <x v="2"/>
    <d v="2021-12-29T00:00:00"/>
    <s v="Tamara Guzman"/>
    <x v="2"/>
    <s v="Buffalo"/>
    <x v="13"/>
    <x v="1"/>
  </r>
  <r>
    <s v="B-25200"/>
    <n v="9653"/>
    <n v="7182"/>
    <n v="2471"/>
    <n v="6"/>
    <x v="1"/>
    <x v="8"/>
    <x v="0"/>
    <d v="2024-07-08T00:00:00"/>
    <s v="Marissa Hartman"/>
    <x v="2"/>
    <s v="Buffalo"/>
    <x v="41"/>
    <x v="2"/>
  </r>
  <r>
    <s v="B-26009"/>
    <n v="8945"/>
    <n v="7217"/>
    <n v="1728"/>
    <n v="10"/>
    <x v="2"/>
    <x v="4"/>
    <x v="0"/>
    <d v="2021-02-10T00:00:00"/>
    <s v="Sara Garcia"/>
    <x v="1"/>
    <s v="Peoria"/>
    <x v="51"/>
    <x v="7"/>
  </r>
  <r>
    <s v="B-26580"/>
    <n v="4007"/>
    <n v="3806"/>
    <n v="201"/>
    <n v="13"/>
    <x v="2"/>
    <x v="11"/>
    <x v="4"/>
    <d v="2020-10-21T00:00:00"/>
    <s v="Kathryn Rogers"/>
    <x v="5"/>
    <s v="Columbus"/>
    <x v="20"/>
    <x v="4"/>
  </r>
  <r>
    <s v="B-26580"/>
    <n v="4007"/>
    <n v="3806"/>
    <n v="201"/>
    <n v="13"/>
    <x v="2"/>
    <x v="11"/>
    <x v="4"/>
    <d v="2023-04-17T00:00:00"/>
    <s v="Kyle Dickson"/>
    <x v="4"/>
    <s v="Dallas"/>
    <x v="28"/>
    <x v="11"/>
  </r>
  <r>
    <s v="B-25679"/>
    <n v="810"/>
    <n v="579"/>
    <n v="231"/>
    <n v="18"/>
    <x v="2"/>
    <x v="11"/>
    <x v="2"/>
    <d v="2020-10-21T00:00:00"/>
    <s v="Jacob Decker"/>
    <x v="0"/>
    <s v="Tampa"/>
    <x v="20"/>
    <x v="4"/>
  </r>
  <r>
    <s v="B-26034"/>
    <n v="9789"/>
    <n v="7718"/>
    <n v="2071"/>
    <n v="18"/>
    <x v="2"/>
    <x v="11"/>
    <x v="1"/>
    <d v="2023-12-28T00:00:00"/>
    <s v="Aaron Johnson"/>
    <x v="2"/>
    <s v="Rochester"/>
    <x v="16"/>
    <x v="1"/>
  </r>
  <r>
    <s v="B-26034"/>
    <n v="9229"/>
    <n v="5139"/>
    <n v="4090"/>
    <n v="8"/>
    <x v="0"/>
    <x v="0"/>
    <x v="4"/>
    <d v="2023-12-28T00:00:00"/>
    <s v="Aaron Johnson"/>
    <x v="2"/>
    <s v="Rochester"/>
    <x v="16"/>
    <x v="1"/>
  </r>
  <r>
    <s v="B-25148"/>
    <n v="8141"/>
    <n v="4173"/>
    <n v="3968"/>
    <n v="18"/>
    <x v="1"/>
    <x v="6"/>
    <x v="1"/>
    <d v="2022-12-23T00:00:00"/>
    <s v="William Morse"/>
    <x v="2"/>
    <s v="Rochester"/>
    <x v="29"/>
    <x v="1"/>
  </r>
  <r>
    <s v="B-25148"/>
    <n v="8141"/>
    <n v="4173"/>
    <n v="3968"/>
    <n v="18"/>
    <x v="1"/>
    <x v="6"/>
    <x v="1"/>
    <d v="2022-08-10T00:00:00"/>
    <s v="Carrie Smith"/>
    <x v="1"/>
    <s v="Peoria"/>
    <x v="40"/>
    <x v="9"/>
  </r>
  <r>
    <s v="B-25148"/>
    <n v="1067"/>
    <n v="816"/>
    <n v="251"/>
    <n v="14"/>
    <x v="2"/>
    <x v="7"/>
    <x v="2"/>
    <d v="2022-12-23T00:00:00"/>
    <s v="William Morse"/>
    <x v="2"/>
    <s v="Rochester"/>
    <x v="29"/>
    <x v="1"/>
  </r>
  <r>
    <s v="B-25148"/>
    <n v="1067"/>
    <n v="816"/>
    <n v="251"/>
    <n v="14"/>
    <x v="2"/>
    <x v="7"/>
    <x v="2"/>
    <d v="2022-08-10T00:00:00"/>
    <s v="Carrie Smith"/>
    <x v="1"/>
    <s v="Peoria"/>
    <x v="40"/>
    <x v="9"/>
  </r>
  <r>
    <s v="B-25830"/>
    <n v="3839"/>
    <n v="2424"/>
    <n v="1415"/>
    <n v="10"/>
    <x v="1"/>
    <x v="9"/>
    <x v="0"/>
    <d v="2023-10-17T00:00:00"/>
    <s v="Vincent Roth"/>
    <x v="3"/>
    <s v="Los Angeles"/>
    <x v="59"/>
    <x v="4"/>
  </r>
  <r>
    <s v="B-25830"/>
    <n v="3839"/>
    <n v="2424"/>
    <n v="1415"/>
    <n v="10"/>
    <x v="1"/>
    <x v="9"/>
    <x v="0"/>
    <d v="2022-02-28T00:00:00"/>
    <s v="Andrew Benson"/>
    <x v="0"/>
    <s v="Orlando"/>
    <x v="26"/>
    <x v="7"/>
  </r>
  <r>
    <s v="B-25762"/>
    <n v="2858"/>
    <n v="2376"/>
    <n v="482"/>
    <n v="13"/>
    <x v="0"/>
    <x v="0"/>
    <x v="4"/>
    <d v="2024-05-24T00:00:00"/>
    <s v="Jason Wilson"/>
    <x v="4"/>
    <s v="Austin"/>
    <x v="3"/>
    <x v="3"/>
  </r>
  <r>
    <s v="B-26794"/>
    <n v="2137"/>
    <n v="1499"/>
    <n v="638"/>
    <n v="12"/>
    <x v="2"/>
    <x v="11"/>
    <x v="1"/>
    <d v="2020-10-02T00:00:00"/>
    <s v="Colin Patterson"/>
    <x v="2"/>
    <s v="New York City"/>
    <x v="20"/>
    <x v="4"/>
  </r>
  <r>
    <s v="B-26794"/>
    <n v="2831"/>
    <n v="1542"/>
    <n v="1289"/>
    <n v="12"/>
    <x v="2"/>
    <x v="5"/>
    <x v="1"/>
    <d v="2020-10-02T00:00:00"/>
    <s v="Colin Patterson"/>
    <x v="2"/>
    <s v="New York City"/>
    <x v="20"/>
    <x v="4"/>
  </r>
  <r>
    <s v="B-25011"/>
    <n v="3913"/>
    <n v="2952"/>
    <n v="961"/>
    <n v="15"/>
    <x v="2"/>
    <x v="7"/>
    <x v="0"/>
    <d v="2024-02-10T00:00:00"/>
    <s v="Eric Bates"/>
    <x v="5"/>
    <s v="Columbus"/>
    <x v="42"/>
    <x v="7"/>
  </r>
  <r>
    <s v="B-25011"/>
    <n v="3913"/>
    <n v="2952"/>
    <n v="961"/>
    <n v="15"/>
    <x v="2"/>
    <x v="7"/>
    <x v="0"/>
    <d v="2021-02-06T00:00:00"/>
    <s v="Steven Keith"/>
    <x v="3"/>
    <s v="San Francisco"/>
    <x v="51"/>
    <x v="7"/>
  </r>
  <r>
    <s v="B-25515"/>
    <n v="4468"/>
    <n v="2528"/>
    <n v="1940"/>
    <n v="9"/>
    <x v="1"/>
    <x v="8"/>
    <x v="4"/>
    <d v="2022-03-16T00:00:00"/>
    <s v="Seth Rodriguez"/>
    <x v="0"/>
    <s v="Tampa"/>
    <x v="25"/>
    <x v="6"/>
  </r>
  <r>
    <s v="B-25369"/>
    <n v="1579"/>
    <n v="977"/>
    <n v="602"/>
    <n v="9"/>
    <x v="0"/>
    <x v="3"/>
    <x v="3"/>
    <d v="2020-05-24T00:00:00"/>
    <s v="Lauren Jones"/>
    <x v="5"/>
    <s v="Cincinnati"/>
    <x v="8"/>
    <x v="3"/>
  </r>
  <r>
    <s v="B-25369"/>
    <n v="1579"/>
    <n v="977"/>
    <n v="602"/>
    <n v="9"/>
    <x v="0"/>
    <x v="3"/>
    <x v="3"/>
    <d v="2025-02-16T00:00:00"/>
    <s v="Thomas Wallace"/>
    <x v="4"/>
    <s v="Dallas"/>
    <x v="9"/>
    <x v="7"/>
  </r>
  <r>
    <s v="B-25369"/>
    <n v="1579"/>
    <n v="977"/>
    <n v="602"/>
    <n v="9"/>
    <x v="0"/>
    <x v="3"/>
    <x v="3"/>
    <d v="2021-11-16T00:00:00"/>
    <s v="Mr. Daniel Wilson"/>
    <x v="5"/>
    <s v="Cincinnati"/>
    <x v="35"/>
    <x v="5"/>
  </r>
  <r>
    <s v="B-25369"/>
    <n v="1579"/>
    <n v="977"/>
    <n v="602"/>
    <n v="9"/>
    <x v="0"/>
    <x v="3"/>
    <x v="3"/>
    <d v="2024-09-08T00:00:00"/>
    <s v="Julie Smith MD"/>
    <x v="2"/>
    <s v="Rochester"/>
    <x v="31"/>
    <x v="10"/>
  </r>
  <r>
    <s v="B-25369"/>
    <n v="3760"/>
    <n v="1911"/>
    <n v="1849"/>
    <n v="19"/>
    <x v="2"/>
    <x v="5"/>
    <x v="2"/>
    <d v="2020-05-24T00:00:00"/>
    <s v="Lauren Jones"/>
    <x v="5"/>
    <s v="Cincinnati"/>
    <x v="8"/>
    <x v="3"/>
  </r>
  <r>
    <s v="B-25369"/>
    <n v="3760"/>
    <n v="1911"/>
    <n v="1849"/>
    <n v="19"/>
    <x v="2"/>
    <x v="5"/>
    <x v="2"/>
    <d v="2025-02-16T00:00:00"/>
    <s v="Thomas Wallace"/>
    <x v="4"/>
    <s v="Dallas"/>
    <x v="9"/>
    <x v="7"/>
  </r>
  <r>
    <s v="B-25369"/>
    <n v="3760"/>
    <n v="1911"/>
    <n v="1849"/>
    <n v="19"/>
    <x v="2"/>
    <x v="5"/>
    <x v="2"/>
    <d v="2021-11-16T00:00:00"/>
    <s v="Mr. Daniel Wilson"/>
    <x v="5"/>
    <s v="Cincinnati"/>
    <x v="35"/>
    <x v="5"/>
  </r>
  <r>
    <s v="B-25369"/>
    <n v="3760"/>
    <n v="1911"/>
    <n v="1849"/>
    <n v="19"/>
    <x v="2"/>
    <x v="5"/>
    <x v="2"/>
    <d v="2024-09-08T00:00:00"/>
    <s v="Julie Smith MD"/>
    <x v="2"/>
    <s v="Rochester"/>
    <x v="31"/>
    <x v="10"/>
  </r>
  <r>
    <s v="B-26222"/>
    <n v="8706"/>
    <n v="5607"/>
    <n v="3099"/>
    <n v="14"/>
    <x v="1"/>
    <x v="2"/>
    <x v="3"/>
    <d v="2022-06-29T00:00:00"/>
    <s v="Carol Mitchell"/>
    <x v="1"/>
    <s v="Chicago"/>
    <x v="33"/>
    <x v="0"/>
  </r>
  <r>
    <s v="B-26222"/>
    <n v="4708"/>
    <n v="4012"/>
    <n v="696"/>
    <n v="14"/>
    <x v="0"/>
    <x v="0"/>
    <x v="3"/>
    <d v="2022-06-29T00:00:00"/>
    <s v="Carol Mitchell"/>
    <x v="1"/>
    <s v="Chicago"/>
    <x v="33"/>
    <x v="0"/>
  </r>
  <r>
    <s v="B-26222"/>
    <n v="8089"/>
    <n v="4957"/>
    <n v="3132"/>
    <n v="17"/>
    <x v="2"/>
    <x v="5"/>
    <x v="4"/>
    <d v="2022-06-29T00:00:00"/>
    <s v="Carol Mitchell"/>
    <x v="1"/>
    <s v="Chicago"/>
    <x v="33"/>
    <x v="0"/>
  </r>
  <r>
    <s v="B-25316"/>
    <n v="5462"/>
    <n v="4789"/>
    <n v="673"/>
    <n v="12"/>
    <x v="0"/>
    <x v="1"/>
    <x v="1"/>
    <d v="2022-11-03T00:00:00"/>
    <s v="John Thompson"/>
    <x v="4"/>
    <s v="Austin"/>
    <x v="5"/>
    <x v="5"/>
  </r>
  <r>
    <s v="B-25507"/>
    <n v="6392"/>
    <n v="5948"/>
    <n v="444"/>
    <n v="18"/>
    <x v="0"/>
    <x v="0"/>
    <x v="3"/>
    <d v="2023-11-28T00:00:00"/>
    <s v="Debra Rodriguez"/>
    <x v="0"/>
    <s v="Tampa"/>
    <x v="6"/>
    <x v="5"/>
  </r>
  <r>
    <s v="B-25846"/>
    <n v="8706"/>
    <n v="6982"/>
    <n v="1724"/>
    <n v="3"/>
    <x v="0"/>
    <x v="0"/>
    <x v="1"/>
    <d v="2020-04-25T00:00:00"/>
    <s v="Erin Vasquez"/>
    <x v="0"/>
    <s v="Orlando"/>
    <x v="32"/>
    <x v="11"/>
  </r>
  <r>
    <s v="B-25763"/>
    <n v="2349"/>
    <n v="2030"/>
    <n v="319"/>
    <n v="4"/>
    <x v="1"/>
    <x v="2"/>
    <x v="0"/>
    <d v="2022-01-18T00:00:00"/>
    <s v="Clayton Lara"/>
    <x v="0"/>
    <s v="Miami"/>
    <x v="12"/>
    <x v="8"/>
  </r>
  <r>
    <s v="B-25763"/>
    <n v="8220"/>
    <n v="4338"/>
    <n v="3882"/>
    <n v="14"/>
    <x v="2"/>
    <x v="5"/>
    <x v="0"/>
    <d v="2022-01-18T00:00:00"/>
    <s v="Clayton Lara"/>
    <x v="0"/>
    <s v="Miami"/>
    <x v="12"/>
    <x v="8"/>
  </r>
  <r>
    <s v="B-25763"/>
    <n v="2379"/>
    <n v="2100"/>
    <n v="279"/>
    <n v="7"/>
    <x v="2"/>
    <x v="5"/>
    <x v="1"/>
    <d v="2022-01-18T00:00:00"/>
    <s v="Clayton Lara"/>
    <x v="0"/>
    <s v="Miami"/>
    <x v="12"/>
    <x v="8"/>
  </r>
  <r>
    <s v="B-25763"/>
    <n v="7377"/>
    <n v="5328"/>
    <n v="2049"/>
    <n v="4"/>
    <x v="1"/>
    <x v="6"/>
    <x v="0"/>
    <d v="2022-01-18T00:00:00"/>
    <s v="Clayton Lara"/>
    <x v="0"/>
    <s v="Miami"/>
    <x v="12"/>
    <x v="8"/>
  </r>
  <r>
    <s v="B-25465"/>
    <n v="717"/>
    <n v="559"/>
    <n v="158"/>
    <n v="16"/>
    <x v="2"/>
    <x v="4"/>
    <x v="3"/>
    <d v="2022-03-23T00:00:00"/>
    <s v="Tony Ray"/>
    <x v="5"/>
    <s v="Cleveland"/>
    <x v="25"/>
    <x v="6"/>
  </r>
  <r>
    <s v="B-25465"/>
    <n v="717"/>
    <n v="559"/>
    <n v="158"/>
    <n v="16"/>
    <x v="2"/>
    <x v="4"/>
    <x v="3"/>
    <d v="2020-06-24T00:00:00"/>
    <s v="Steven Frey"/>
    <x v="0"/>
    <s v="Miami"/>
    <x v="53"/>
    <x v="0"/>
  </r>
  <r>
    <s v="B-25465"/>
    <n v="717"/>
    <n v="559"/>
    <n v="158"/>
    <n v="16"/>
    <x v="2"/>
    <x v="4"/>
    <x v="3"/>
    <d v="2022-12-23T00:00:00"/>
    <s v="Stephanie Leonard"/>
    <x v="2"/>
    <s v="Buffalo"/>
    <x v="29"/>
    <x v="1"/>
  </r>
  <r>
    <s v="B-25465"/>
    <n v="717"/>
    <n v="559"/>
    <n v="158"/>
    <n v="16"/>
    <x v="2"/>
    <x v="4"/>
    <x v="3"/>
    <d v="2024-11-24T00:00:00"/>
    <s v="Crystal Chambers"/>
    <x v="2"/>
    <s v="New York City"/>
    <x v="46"/>
    <x v="5"/>
  </r>
  <r>
    <s v="B-25465"/>
    <n v="717"/>
    <n v="559"/>
    <n v="158"/>
    <n v="16"/>
    <x v="2"/>
    <x v="4"/>
    <x v="3"/>
    <d v="2020-11-06T00:00:00"/>
    <s v="Robert White"/>
    <x v="0"/>
    <s v="Orlando"/>
    <x v="11"/>
    <x v="5"/>
  </r>
  <r>
    <s v="B-25465"/>
    <n v="717"/>
    <n v="559"/>
    <n v="158"/>
    <n v="16"/>
    <x v="2"/>
    <x v="4"/>
    <x v="3"/>
    <d v="2023-10-24T00:00:00"/>
    <s v="Sylvia Barron"/>
    <x v="2"/>
    <s v="Rochester"/>
    <x v="59"/>
    <x v="4"/>
  </r>
  <r>
    <s v="B-25465"/>
    <n v="508"/>
    <n v="331"/>
    <n v="177"/>
    <n v="17"/>
    <x v="2"/>
    <x v="7"/>
    <x v="0"/>
    <d v="2022-03-23T00:00:00"/>
    <s v="Tony Ray"/>
    <x v="5"/>
    <s v="Cleveland"/>
    <x v="25"/>
    <x v="6"/>
  </r>
  <r>
    <s v="B-25465"/>
    <n v="508"/>
    <n v="331"/>
    <n v="177"/>
    <n v="17"/>
    <x v="2"/>
    <x v="7"/>
    <x v="0"/>
    <d v="2020-06-24T00:00:00"/>
    <s v="Steven Frey"/>
    <x v="0"/>
    <s v="Miami"/>
    <x v="53"/>
    <x v="0"/>
  </r>
  <r>
    <s v="B-25465"/>
    <n v="508"/>
    <n v="331"/>
    <n v="177"/>
    <n v="17"/>
    <x v="2"/>
    <x v="7"/>
    <x v="0"/>
    <d v="2022-12-23T00:00:00"/>
    <s v="Stephanie Leonard"/>
    <x v="2"/>
    <s v="Buffalo"/>
    <x v="29"/>
    <x v="1"/>
  </r>
  <r>
    <s v="B-25465"/>
    <n v="508"/>
    <n v="331"/>
    <n v="177"/>
    <n v="17"/>
    <x v="2"/>
    <x v="7"/>
    <x v="0"/>
    <d v="2024-11-24T00:00:00"/>
    <s v="Crystal Chambers"/>
    <x v="2"/>
    <s v="New York City"/>
    <x v="46"/>
    <x v="5"/>
  </r>
  <r>
    <s v="B-25465"/>
    <n v="508"/>
    <n v="331"/>
    <n v="177"/>
    <n v="17"/>
    <x v="2"/>
    <x v="7"/>
    <x v="0"/>
    <d v="2020-11-06T00:00:00"/>
    <s v="Robert White"/>
    <x v="0"/>
    <s v="Orlando"/>
    <x v="11"/>
    <x v="5"/>
  </r>
  <r>
    <s v="B-25465"/>
    <n v="508"/>
    <n v="331"/>
    <n v="177"/>
    <n v="17"/>
    <x v="2"/>
    <x v="7"/>
    <x v="0"/>
    <d v="2023-10-24T00:00:00"/>
    <s v="Sylvia Barron"/>
    <x v="2"/>
    <s v="Rochester"/>
    <x v="59"/>
    <x v="4"/>
  </r>
  <r>
    <s v="B-26352"/>
    <n v="9382"/>
    <n v="8297"/>
    <n v="1085"/>
    <n v="3"/>
    <x v="0"/>
    <x v="1"/>
    <x v="1"/>
    <d v="2023-07-18T00:00:00"/>
    <s v="Marcus Brown"/>
    <x v="1"/>
    <s v="Chicago"/>
    <x v="17"/>
    <x v="2"/>
  </r>
  <r>
    <s v="B-26352"/>
    <n v="9382"/>
    <n v="8297"/>
    <n v="1085"/>
    <n v="3"/>
    <x v="0"/>
    <x v="1"/>
    <x v="1"/>
    <d v="2022-05-16T00:00:00"/>
    <s v="Annette Pierce"/>
    <x v="2"/>
    <s v="Rochester"/>
    <x v="37"/>
    <x v="3"/>
  </r>
  <r>
    <s v="B-26352"/>
    <n v="4936"/>
    <n v="4360"/>
    <n v="576"/>
    <n v="19"/>
    <x v="2"/>
    <x v="4"/>
    <x v="4"/>
    <d v="2023-07-18T00:00:00"/>
    <s v="Marcus Brown"/>
    <x v="1"/>
    <s v="Chicago"/>
    <x v="17"/>
    <x v="2"/>
  </r>
  <r>
    <s v="B-26352"/>
    <n v="4936"/>
    <n v="4360"/>
    <n v="576"/>
    <n v="19"/>
    <x v="2"/>
    <x v="4"/>
    <x v="4"/>
    <d v="2022-05-16T00:00:00"/>
    <s v="Annette Pierce"/>
    <x v="2"/>
    <s v="Rochester"/>
    <x v="37"/>
    <x v="3"/>
  </r>
  <r>
    <s v="B-26528"/>
    <n v="2663"/>
    <n v="2599"/>
    <n v="64"/>
    <n v="19"/>
    <x v="2"/>
    <x v="7"/>
    <x v="4"/>
    <d v="2024-06-16T00:00:00"/>
    <s v="Donald Hernandez"/>
    <x v="3"/>
    <s v="San Francisco"/>
    <x v="47"/>
    <x v="0"/>
  </r>
  <r>
    <s v="B-26528"/>
    <n v="2663"/>
    <n v="2599"/>
    <n v="64"/>
    <n v="19"/>
    <x v="2"/>
    <x v="7"/>
    <x v="4"/>
    <d v="2021-10-23T00:00:00"/>
    <s v="Megan Davis"/>
    <x v="5"/>
    <s v="Cleveland"/>
    <x v="4"/>
    <x v="4"/>
  </r>
  <r>
    <s v="B-26670"/>
    <n v="5151"/>
    <n v="3471"/>
    <n v="1680"/>
    <n v="5"/>
    <x v="0"/>
    <x v="1"/>
    <x v="2"/>
    <d v="2022-10-22T00:00:00"/>
    <s v="Robert Brooks"/>
    <x v="4"/>
    <s v="Houston"/>
    <x v="15"/>
    <x v="4"/>
  </r>
  <r>
    <s v="B-25331"/>
    <n v="2514"/>
    <n v="2419"/>
    <n v="95"/>
    <n v="8"/>
    <x v="1"/>
    <x v="2"/>
    <x v="0"/>
    <d v="2023-07-17T00:00:00"/>
    <s v="Miguel Alvarez"/>
    <x v="2"/>
    <s v="Rochester"/>
    <x v="17"/>
    <x v="2"/>
  </r>
  <r>
    <s v="B-25832"/>
    <n v="6129"/>
    <n v="3153"/>
    <n v="2976"/>
    <n v="2"/>
    <x v="0"/>
    <x v="3"/>
    <x v="2"/>
    <d v="2025-02-24T00:00:00"/>
    <s v="Jennifer Arnold"/>
    <x v="2"/>
    <s v="New York City"/>
    <x v="9"/>
    <x v="7"/>
  </r>
  <r>
    <s v="B-25832"/>
    <n v="4395"/>
    <n v="2732"/>
    <n v="1663"/>
    <n v="3"/>
    <x v="2"/>
    <x v="11"/>
    <x v="4"/>
    <d v="2025-02-24T00:00:00"/>
    <s v="Jennifer Arnold"/>
    <x v="2"/>
    <s v="New York City"/>
    <x v="9"/>
    <x v="7"/>
  </r>
  <r>
    <s v="B-25897"/>
    <n v="5393"/>
    <n v="2751"/>
    <n v="2642"/>
    <n v="8"/>
    <x v="2"/>
    <x v="5"/>
    <x v="0"/>
    <d v="2021-03-07T00:00:00"/>
    <s v="Jessica Blankenship"/>
    <x v="5"/>
    <s v="Cincinnati"/>
    <x v="34"/>
    <x v="6"/>
  </r>
  <r>
    <s v="B-25713"/>
    <n v="2280"/>
    <n v="1771"/>
    <n v="509"/>
    <n v="8"/>
    <x v="0"/>
    <x v="10"/>
    <x v="3"/>
    <d v="2021-01-03T00:00:00"/>
    <s v="Peggy Campos"/>
    <x v="2"/>
    <s v="Buffalo"/>
    <x v="49"/>
    <x v="8"/>
  </r>
  <r>
    <s v="B-25065"/>
    <n v="6596"/>
    <n v="5157"/>
    <n v="1439"/>
    <n v="9"/>
    <x v="1"/>
    <x v="8"/>
    <x v="1"/>
    <d v="2023-05-03T00:00:00"/>
    <s v="Craig Ortega"/>
    <x v="5"/>
    <s v="Cincinnati"/>
    <x v="23"/>
    <x v="3"/>
  </r>
  <r>
    <s v="B-25949"/>
    <n v="4510"/>
    <n v="2614"/>
    <n v="1896"/>
    <n v="5"/>
    <x v="1"/>
    <x v="8"/>
    <x v="2"/>
    <d v="2023-10-25T00:00:00"/>
    <s v="Johnny Simon"/>
    <x v="3"/>
    <s v="Los Angeles"/>
    <x v="59"/>
    <x v="4"/>
  </r>
  <r>
    <s v="B-26033"/>
    <n v="6077"/>
    <n v="3699"/>
    <n v="2378"/>
    <n v="18"/>
    <x v="0"/>
    <x v="10"/>
    <x v="4"/>
    <d v="2022-08-21T00:00:00"/>
    <s v="Keith Brooks"/>
    <x v="2"/>
    <s v="New York City"/>
    <x v="40"/>
    <x v="9"/>
  </r>
  <r>
    <s v="B-26017"/>
    <n v="5379"/>
    <n v="2869"/>
    <n v="2510"/>
    <n v="17"/>
    <x v="0"/>
    <x v="1"/>
    <x v="4"/>
    <d v="2022-04-16T00:00:00"/>
    <s v="Jason Martinez"/>
    <x v="5"/>
    <s v="Columbus"/>
    <x v="39"/>
    <x v="11"/>
  </r>
  <r>
    <s v="B-26926"/>
    <n v="4629"/>
    <n v="2969"/>
    <n v="1660"/>
    <n v="16"/>
    <x v="1"/>
    <x v="6"/>
    <x v="2"/>
    <d v="2023-04-02T00:00:00"/>
    <s v="Steven Herrera"/>
    <x v="3"/>
    <s v="San Diego"/>
    <x v="28"/>
    <x v="11"/>
  </r>
  <r>
    <s v="B-26258"/>
    <n v="2710"/>
    <n v="2155"/>
    <n v="555"/>
    <n v="20"/>
    <x v="0"/>
    <x v="3"/>
    <x v="1"/>
    <d v="2024-10-21T00:00:00"/>
    <s v="Beverly Lamb"/>
    <x v="1"/>
    <s v="Chicago"/>
    <x v="56"/>
    <x v="4"/>
  </r>
  <r>
    <s v="B-26258"/>
    <n v="3224"/>
    <n v="2206"/>
    <n v="1018"/>
    <n v="14"/>
    <x v="1"/>
    <x v="9"/>
    <x v="0"/>
    <d v="2024-10-21T00:00:00"/>
    <s v="Beverly Lamb"/>
    <x v="1"/>
    <s v="Chicago"/>
    <x v="56"/>
    <x v="4"/>
  </r>
  <r>
    <s v="B-26240"/>
    <n v="8042"/>
    <n v="7106"/>
    <n v="936"/>
    <n v="15"/>
    <x v="1"/>
    <x v="6"/>
    <x v="2"/>
    <d v="2021-07-09T00:00:00"/>
    <s v="Michael Williams"/>
    <x v="1"/>
    <s v="Springfield"/>
    <x v="2"/>
    <x v="2"/>
  </r>
  <r>
    <s v="B-26240"/>
    <n v="8042"/>
    <n v="7106"/>
    <n v="936"/>
    <n v="15"/>
    <x v="1"/>
    <x v="6"/>
    <x v="2"/>
    <d v="2022-04-08T00:00:00"/>
    <s v="Zachary Carpenter"/>
    <x v="3"/>
    <s v="Los Angeles"/>
    <x v="39"/>
    <x v="11"/>
  </r>
  <r>
    <s v="B-26922"/>
    <n v="3957"/>
    <n v="3806"/>
    <n v="151"/>
    <n v="10"/>
    <x v="1"/>
    <x v="9"/>
    <x v="2"/>
    <d v="2022-04-30T00:00:00"/>
    <s v="Timothy Baker"/>
    <x v="4"/>
    <s v="Austin"/>
    <x v="39"/>
    <x v="11"/>
  </r>
  <r>
    <s v="B-26894"/>
    <n v="8769"/>
    <n v="5591"/>
    <n v="3178"/>
    <n v="16"/>
    <x v="1"/>
    <x v="6"/>
    <x v="1"/>
    <d v="2023-01-20T00:00:00"/>
    <s v="Adam James"/>
    <x v="1"/>
    <s v="Chicago"/>
    <x v="54"/>
    <x v="8"/>
  </r>
  <r>
    <s v="B-25330"/>
    <n v="2957"/>
    <n v="2040"/>
    <n v="917"/>
    <n v="16"/>
    <x v="1"/>
    <x v="2"/>
    <x v="1"/>
    <d v="2024-11-17T00:00:00"/>
    <s v="Katrina Wood"/>
    <x v="1"/>
    <s v="Chicago"/>
    <x v="46"/>
    <x v="5"/>
  </r>
  <r>
    <s v="B-26288"/>
    <n v="5344"/>
    <n v="2737"/>
    <n v="2607"/>
    <n v="6"/>
    <x v="1"/>
    <x v="8"/>
    <x v="1"/>
    <d v="2022-04-23T00:00:00"/>
    <s v="James Murray"/>
    <x v="4"/>
    <s v="Dallas"/>
    <x v="39"/>
    <x v="11"/>
  </r>
  <r>
    <s v="B-26288"/>
    <n v="5344"/>
    <n v="2737"/>
    <n v="2607"/>
    <n v="6"/>
    <x v="1"/>
    <x v="8"/>
    <x v="1"/>
    <d v="2025-02-18T00:00:00"/>
    <s v="Mr. Nathaniel Reeves"/>
    <x v="2"/>
    <s v="Rochester"/>
    <x v="9"/>
    <x v="7"/>
  </r>
  <r>
    <s v="B-25228"/>
    <n v="6061"/>
    <n v="3940"/>
    <n v="2121"/>
    <n v="19"/>
    <x v="0"/>
    <x v="3"/>
    <x v="2"/>
    <d v="2021-05-27T00:00:00"/>
    <s v="Jodi Wood"/>
    <x v="5"/>
    <s v="Cleveland"/>
    <x v="18"/>
    <x v="3"/>
  </r>
  <r>
    <s v="B-25228"/>
    <n v="6061"/>
    <n v="3940"/>
    <n v="2121"/>
    <n v="19"/>
    <x v="0"/>
    <x v="3"/>
    <x v="2"/>
    <d v="2022-01-17T00:00:00"/>
    <s v="Dr. Thomas Peterson"/>
    <x v="3"/>
    <s v="San Diego"/>
    <x v="12"/>
    <x v="8"/>
  </r>
  <r>
    <s v="B-26457"/>
    <n v="5376"/>
    <n v="3448"/>
    <n v="1928"/>
    <n v="7"/>
    <x v="2"/>
    <x v="4"/>
    <x v="3"/>
    <d v="2025-01-15T00:00:00"/>
    <s v="Mario Hall"/>
    <x v="2"/>
    <s v="New York City"/>
    <x v="52"/>
    <x v="8"/>
  </r>
  <r>
    <s v="B-25790"/>
    <n v="2792"/>
    <n v="1784"/>
    <n v="1008"/>
    <n v="8"/>
    <x v="0"/>
    <x v="1"/>
    <x v="4"/>
    <d v="2021-02-14T00:00:00"/>
    <s v="Justin Rosales"/>
    <x v="0"/>
    <s v="Miami"/>
    <x v="51"/>
    <x v="7"/>
  </r>
  <r>
    <s v="B-25868"/>
    <n v="2944"/>
    <n v="2695"/>
    <n v="249"/>
    <n v="5"/>
    <x v="1"/>
    <x v="9"/>
    <x v="3"/>
    <d v="2024-08-31T00:00:00"/>
    <s v="Autumn Lee"/>
    <x v="5"/>
    <s v="Columbus"/>
    <x v="19"/>
    <x v="9"/>
  </r>
  <r>
    <s v="B-25868"/>
    <n v="2944"/>
    <n v="2695"/>
    <n v="249"/>
    <n v="5"/>
    <x v="1"/>
    <x v="9"/>
    <x v="3"/>
    <d v="2022-12-26T00:00:00"/>
    <s v="Victoria Duran"/>
    <x v="4"/>
    <s v="Dallas"/>
    <x v="29"/>
    <x v="1"/>
  </r>
  <r>
    <s v="B-25381"/>
    <n v="4220"/>
    <n v="3275"/>
    <n v="945"/>
    <n v="13"/>
    <x v="1"/>
    <x v="6"/>
    <x v="2"/>
    <d v="2024-03-21T00:00:00"/>
    <s v="Barry Garcia"/>
    <x v="1"/>
    <s v="Springfield"/>
    <x v="55"/>
    <x v="6"/>
  </r>
  <r>
    <s v="B-25381"/>
    <n v="4220"/>
    <n v="3275"/>
    <n v="945"/>
    <n v="13"/>
    <x v="1"/>
    <x v="6"/>
    <x v="2"/>
    <d v="2020-12-15T00:00:00"/>
    <s v="Dawn Webb"/>
    <x v="1"/>
    <s v="Peoria"/>
    <x v="50"/>
    <x v="1"/>
  </r>
  <r>
    <s v="B-25153"/>
    <n v="8526"/>
    <n v="6822"/>
    <n v="1704"/>
    <n v="4"/>
    <x v="1"/>
    <x v="9"/>
    <x v="1"/>
    <d v="2023-03-21T00:00:00"/>
    <s v="Patricia Sanford"/>
    <x v="4"/>
    <s v="Austin"/>
    <x v="45"/>
    <x v="6"/>
  </r>
  <r>
    <s v="B-26576"/>
    <n v="8218"/>
    <n v="6788"/>
    <n v="1430"/>
    <n v="19"/>
    <x v="2"/>
    <x v="11"/>
    <x v="3"/>
    <d v="2023-06-08T00:00:00"/>
    <s v="William Walters"/>
    <x v="3"/>
    <s v="San Francisco"/>
    <x v="0"/>
    <x v="0"/>
  </r>
  <r>
    <s v="B-26526"/>
    <n v="599"/>
    <n v="334"/>
    <n v="265"/>
    <n v="4"/>
    <x v="0"/>
    <x v="10"/>
    <x v="3"/>
    <d v="2022-07-17T00:00:00"/>
    <s v="Emma Scott"/>
    <x v="2"/>
    <s v="Buffalo"/>
    <x v="58"/>
    <x v="2"/>
  </r>
  <r>
    <s v="B-26526"/>
    <n v="599"/>
    <n v="334"/>
    <n v="265"/>
    <n v="4"/>
    <x v="0"/>
    <x v="10"/>
    <x v="3"/>
    <d v="2024-12-05T00:00:00"/>
    <s v="Sabrina Buckley"/>
    <x v="2"/>
    <s v="Rochester"/>
    <x v="1"/>
    <x v="1"/>
  </r>
  <r>
    <s v="B-26526"/>
    <n v="2727"/>
    <n v="2184"/>
    <n v="543"/>
    <n v="10"/>
    <x v="2"/>
    <x v="11"/>
    <x v="3"/>
    <d v="2022-07-17T00:00:00"/>
    <s v="Emma Scott"/>
    <x v="2"/>
    <s v="Buffalo"/>
    <x v="58"/>
    <x v="2"/>
  </r>
  <r>
    <s v="B-26526"/>
    <n v="2727"/>
    <n v="2184"/>
    <n v="543"/>
    <n v="10"/>
    <x v="2"/>
    <x v="11"/>
    <x v="3"/>
    <d v="2024-12-05T00:00:00"/>
    <s v="Sabrina Buckley"/>
    <x v="2"/>
    <s v="Rochester"/>
    <x v="1"/>
    <x v="1"/>
  </r>
  <r>
    <s v="B-25819"/>
    <n v="2589"/>
    <n v="1984"/>
    <n v="605"/>
    <n v="11"/>
    <x v="1"/>
    <x v="2"/>
    <x v="2"/>
    <d v="2023-11-02T00:00:00"/>
    <s v="Robert Rojas"/>
    <x v="3"/>
    <s v="San Francisco"/>
    <x v="6"/>
    <x v="5"/>
  </r>
  <r>
    <s v="B-25819"/>
    <n v="2589"/>
    <n v="1984"/>
    <n v="605"/>
    <n v="11"/>
    <x v="1"/>
    <x v="2"/>
    <x v="2"/>
    <d v="2024-10-05T00:00:00"/>
    <s v="Eric Johnson"/>
    <x v="5"/>
    <s v="Cleveland"/>
    <x v="56"/>
    <x v="4"/>
  </r>
  <r>
    <s v="B-25698"/>
    <n v="3776"/>
    <n v="2676"/>
    <n v="1100"/>
    <n v="9"/>
    <x v="0"/>
    <x v="0"/>
    <x v="2"/>
    <d v="2022-11-13T00:00:00"/>
    <s v="Heather Parker"/>
    <x v="4"/>
    <s v="Austin"/>
    <x v="5"/>
    <x v="5"/>
  </r>
  <r>
    <s v="B-25698"/>
    <n v="3776"/>
    <n v="2676"/>
    <n v="1100"/>
    <n v="9"/>
    <x v="0"/>
    <x v="0"/>
    <x v="2"/>
    <d v="2022-12-28T00:00:00"/>
    <s v="Thomas Matthews"/>
    <x v="1"/>
    <s v="Peoria"/>
    <x v="29"/>
    <x v="1"/>
  </r>
  <r>
    <s v="B-26820"/>
    <n v="5402"/>
    <n v="3736"/>
    <n v="1666"/>
    <n v="12"/>
    <x v="2"/>
    <x v="11"/>
    <x v="2"/>
    <d v="2025-02-26T00:00:00"/>
    <s v="Kimberly Beard"/>
    <x v="5"/>
    <s v="Cleveland"/>
    <x v="9"/>
    <x v="7"/>
  </r>
  <r>
    <s v="B-25396"/>
    <n v="5165"/>
    <n v="4280"/>
    <n v="885"/>
    <n v="16"/>
    <x v="1"/>
    <x v="2"/>
    <x v="2"/>
    <d v="2022-11-12T00:00:00"/>
    <s v="Lydia Donovan"/>
    <x v="1"/>
    <s v="Peoria"/>
    <x v="5"/>
    <x v="5"/>
  </r>
  <r>
    <s v="B-25396"/>
    <n v="4863"/>
    <n v="2469"/>
    <n v="2394"/>
    <n v="4"/>
    <x v="2"/>
    <x v="11"/>
    <x v="2"/>
    <d v="2022-11-12T00:00:00"/>
    <s v="Lydia Donovan"/>
    <x v="1"/>
    <s v="Peoria"/>
    <x v="5"/>
    <x v="5"/>
  </r>
  <r>
    <s v="B-25529"/>
    <n v="1626"/>
    <n v="1368"/>
    <n v="258"/>
    <n v="15"/>
    <x v="1"/>
    <x v="2"/>
    <x v="2"/>
    <d v="2021-06-07T00:00:00"/>
    <s v="Edward Johnson"/>
    <x v="0"/>
    <s v="Orlando"/>
    <x v="22"/>
    <x v="0"/>
  </r>
  <r>
    <s v="B-26501"/>
    <n v="8851"/>
    <n v="4889"/>
    <n v="3962"/>
    <n v="7"/>
    <x v="2"/>
    <x v="4"/>
    <x v="2"/>
    <d v="2020-09-26T00:00:00"/>
    <s v="Ricky Smith"/>
    <x v="0"/>
    <s v="Miami"/>
    <x v="57"/>
    <x v="10"/>
  </r>
  <r>
    <s v="B-26910"/>
    <n v="9680"/>
    <n v="6385"/>
    <n v="3295"/>
    <n v="9"/>
    <x v="2"/>
    <x v="4"/>
    <x v="4"/>
    <d v="2024-04-29T00:00:00"/>
    <s v="Mr. Ralph Garcia Jr."/>
    <x v="2"/>
    <s v="Rochester"/>
    <x v="44"/>
    <x v="11"/>
  </r>
  <r>
    <s v="B-26910"/>
    <n v="8468"/>
    <n v="4802"/>
    <n v="3666"/>
    <n v="8"/>
    <x v="1"/>
    <x v="2"/>
    <x v="0"/>
    <d v="2024-04-29T00:00:00"/>
    <s v="Mr. Ralph Garcia Jr."/>
    <x v="2"/>
    <s v="Rochester"/>
    <x v="44"/>
    <x v="11"/>
  </r>
  <r>
    <s v="B-26910"/>
    <n v="4441"/>
    <n v="4127"/>
    <n v="314"/>
    <n v="14"/>
    <x v="2"/>
    <x v="5"/>
    <x v="1"/>
    <d v="2024-04-29T00:00:00"/>
    <s v="Mr. Ralph Garcia Jr."/>
    <x v="2"/>
    <s v="Rochester"/>
    <x v="44"/>
    <x v="11"/>
  </r>
  <r>
    <s v="B-25978"/>
    <n v="6622"/>
    <n v="3949"/>
    <n v="2673"/>
    <n v="8"/>
    <x v="2"/>
    <x v="7"/>
    <x v="4"/>
    <d v="2024-04-10T00:00:00"/>
    <s v="Malik Walker"/>
    <x v="2"/>
    <s v="New York City"/>
    <x v="44"/>
    <x v="11"/>
  </r>
  <r>
    <s v="B-26537"/>
    <n v="3260"/>
    <n v="3053"/>
    <n v="207"/>
    <n v="17"/>
    <x v="2"/>
    <x v="4"/>
    <x v="0"/>
    <d v="2023-12-21T00:00:00"/>
    <s v="Tanya Walker"/>
    <x v="3"/>
    <s v="San Diego"/>
    <x v="16"/>
    <x v="1"/>
  </r>
  <r>
    <s v="B-25881"/>
    <n v="8709"/>
    <n v="6387"/>
    <n v="2322"/>
    <n v="8"/>
    <x v="2"/>
    <x v="4"/>
    <x v="1"/>
    <d v="2024-05-02T00:00:00"/>
    <s v="Sherri Ferguson DVM"/>
    <x v="4"/>
    <s v="Austin"/>
    <x v="3"/>
    <x v="3"/>
  </r>
  <r>
    <s v="B-25881"/>
    <n v="8709"/>
    <n v="6387"/>
    <n v="2322"/>
    <n v="8"/>
    <x v="2"/>
    <x v="4"/>
    <x v="1"/>
    <d v="2024-11-21T00:00:00"/>
    <s v="Kristin Hart"/>
    <x v="3"/>
    <s v="San Francisco"/>
    <x v="46"/>
    <x v="5"/>
  </r>
  <r>
    <s v="B-25237"/>
    <n v="5250"/>
    <n v="5063"/>
    <n v="187"/>
    <n v="1"/>
    <x v="1"/>
    <x v="9"/>
    <x v="4"/>
    <d v="2022-03-17T00:00:00"/>
    <s v="Jim Johnson"/>
    <x v="5"/>
    <s v="Cincinnati"/>
    <x v="25"/>
    <x v="6"/>
  </r>
  <r>
    <s v="B-25237"/>
    <n v="5250"/>
    <n v="5063"/>
    <n v="187"/>
    <n v="1"/>
    <x v="1"/>
    <x v="9"/>
    <x v="4"/>
    <d v="2023-05-14T00:00:00"/>
    <s v="David Hamilton"/>
    <x v="4"/>
    <s v="Houston"/>
    <x v="23"/>
    <x v="3"/>
  </r>
  <r>
    <s v="B-26122"/>
    <n v="4116"/>
    <n v="3195"/>
    <n v="921"/>
    <n v="20"/>
    <x v="1"/>
    <x v="8"/>
    <x v="0"/>
    <d v="2024-10-07T00:00:00"/>
    <s v="Michael Jimenez"/>
    <x v="3"/>
    <s v="Los Angeles"/>
    <x v="56"/>
    <x v="4"/>
  </r>
  <r>
    <s v="B-26122"/>
    <n v="4116"/>
    <n v="3195"/>
    <n v="921"/>
    <n v="20"/>
    <x v="1"/>
    <x v="8"/>
    <x v="0"/>
    <d v="2020-09-08T00:00:00"/>
    <s v="Angela Norman"/>
    <x v="1"/>
    <s v="Springfield"/>
    <x v="57"/>
    <x v="10"/>
  </r>
  <r>
    <s v="B-25709"/>
    <n v="1109"/>
    <n v="691"/>
    <n v="418"/>
    <n v="15"/>
    <x v="1"/>
    <x v="8"/>
    <x v="0"/>
    <d v="2021-08-19T00:00:00"/>
    <s v="Denise Mcdaniel"/>
    <x v="3"/>
    <s v="Los Angeles"/>
    <x v="36"/>
    <x v="9"/>
  </r>
  <r>
    <s v="B-26656"/>
    <n v="3573"/>
    <n v="3011"/>
    <n v="562"/>
    <n v="7"/>
    <x v="1"/>
    <x v="2"/>
    <x v="2"/>
    <d v="2022-10-12T00:00:00"/>
    <s v="Michael Rodriguez"/>
    <x v="2"/>
    <s v="Rochester"/>
    <x v="15"/>
    <x v="4"/>
  </r>
  <r>
    <s v="B-26656"/>
    <n v="3573"/>
    <n v="3011"/>
    <n v="562"/>
    <n v="7"/>
    <x v="1"/>
    <x v="2"/>
    <x v="2"/>
    <d v="2020-05-23T00:00:00"/>
    <s v="Matthew Huff"/>
    <x v="3"/>
    <s v="San Diego"/>
    <x v="8"/>
    <x v="3"/>
  </r>
  <r>
    <s v="B-26656"/>
    <n v="3573"/>
    <n v="3011"/>
    <n v="562"/>
    <n v="7"/>
    <x v="1"/>
    <x v="2"/>
    <x v="2"/>
    <d v="2020-04-18T00:00:00"/>
    <s v="Linda Little"/>
    <x v="0"/>
    <s v="Tampa"/>
    <x v="32"/>
    <x v="11"/>
  </r>
  <r>
    <s v="B-26656"/>
    <n v="8055"/>
    <n v="7394"/>
    <n v="661"/>
    <n v="10"/>
    <x v="0"/>
    <x v="10"/>
    <x v="2"/>
    <d v="2022-10-12T00:00:00"/>
    <s v="Michael Rodriguez"/>
    <x v="2"/>
    <s v="Rochester"/>
    <x v="15"/>
    <x v="4"/>
  </r>
  <r>
    <s v="B-26656"/>
    <n v="8055"/>
    <n v="7394"/>
    <n v="661"/>
    <n v="10"/>
    <x v="0"/>
    <x v="10"/>
    <x v="2"/>
    <d v="2020-05-23T00:00:00"/>
    <s v="Matthew Huff"/>
    <x v="3"/>
    <s v="San Diego"/>
    <x v="8"/>
    <x v="3"/>
  </r>
  <r>
    <s v="B-26656"/>
    <n v="8055"/>
    <n v="7394"/>
    <n v="661"/>
    <n v="10"/>
    <x v="0"/>
    <x v="10"/>
    <x v="2"/>
    <d v="2020-04-18T00:00:00"/>
    <s v="Linda Little"/>
    <x v="0"/>
    <s v="Tampa"/>
    <x v="32"/>
    <x v="11"/>
  </r>
  <r>
    <s v="B-25801"/>
    <n v="6829"/>
    <n v="4220"/>
    <n v="2609"/>
    <n v="2"/>
    <x v="0"/>
    <x v="3"/>
    <x v="2"/>
    <d v="2022-06-04T00:00:00"/>
    <s v="Kerri Andrews"/>
    <x v="3"/>
    <s v="San Francisco"/>
    <x v="33"/>
    <x v="0"/>
  </r>
  <r>
    <s v="B-25801"/>
    <n v="6390"/>
    <n v="3301"/>
    <n v="3089"/>
    <n v="12"/>
    <x v="1"/>
    <x v="8"/>
    <x v="4"/>
    <d v="2022-06-04T00:00:00"/>
    <s v="Kerri Andrews"/>
    <x v="3"/>
    <s v="San Francisco"/>
    <x v="33"/>
    <x v="0"/>
  </r>
  <r>
    <s v="B-25006"/>
    <n v="5831"/>
    <n v="4257"/>
    <n v="1574"/>
    <n v="17"/>
    <x v="1"/>
    <x v="2"/>
    <x v="1"/>
    <d v="2022-11-16T00:00:00"/>
    <s v="Jeffrey Johnson III"/>
    <x v="3"/>
    <s v="San Francisco"/>
    <x v="5"/>
    <x v="5"/>
  </r>
  <r>
    <s v="B-25006"/>
    <n v="5831"/>
    <n v="4257"/>
    <n v="1574"/>
    <n v="17"/>
    <x v="1"/>
    <x v="2"/>
    <x v="1"/>
    <d v="2024-07-18T00:00:00"/>
    <s v="Daniel Dixon"/>
    <x v="3"/>
    <s v="San Diego"/>
    <x v="41"/>
    <x v="2"/>
  </r>
  <r>
    <s v="B-25006"/>
    <n v="5831"/>
    <n v="4257"/>
    <n v="1574"/>
    <n v="17"/>
    <x v="1"/>
    <x v="2"/>
    <x v="1"/>
    <d v="2023-07-16T00:00:00"/>
    <s v="Tiffany Robinson"/>
    <x v="0"/>
    <s v="Miami"/>
    <x v="17"/>
    <x v="2"/>
  </r>
  <r>
    <s v="B-26106"/>
    <n v="7952"/>
    <n v="4087"/>
    <n v="3865"/>
    <n v="8"/>
    <x v="2"/>
    <x v="7"/>
    <x v="1"/>
    <d v="2020-08-10T00:00:00"/>
    <s v="Mr. Gregg Sawyer"/>
    <x v="1"/>
    <s v="Peoria"/>
    <x v="38"/>
    <x v="9"/>
  </r>
  <r>
    <s v="B-25789"/>
    <n v="3659"/>
    <n v="3280"/>
    <n v="379"/>
    <n v="5"/>
    <x v="2"/>
    <x v="11"/>
    <x v="0"/>
    <d v="2024-06-22T00:00:00"/>
    <s v="John Silva"/>
    <x v="3"/>
    <s v="Los Angeles"/>
    <x v="47"/>
    <x v="0"/>
  </r>
  <r>
    <s v="B-26292"/>
    <n v="4183"/>
    <n v="3024"/>
    <n v="1159"/>
    <n v="4"/>
    <x v="1"/>
    <x v="2"/>
    <x v="1"/>
    <d v="2020-07-13T00:00:00"/>
    <s v="Nathan Moss"/>
    <x v="1"/>
    <s v="Springfield"/>
    <x v="60"/>
    <x v="2"/>
  </r>
  <r>
    <s v="B-25895"/>
    <n v="7478"/>
    <n v="6097"/>
    <n v="1381"/>
    <n v="11"/>
    <x v="0"/>
    <x v="10"/>
    <x v="2"/>
    <d v="2024-04-16T00:00:00"/>
    <s v="Donald Medina"/>
    <x v="4"/>
    <s v="Houston"/>
    <x v="44"/>
    <x v="11"/>
  </r>
  <r>
    <s v="B-25813"/>
    <n v="702"/>
    <n v="464"/>
    <n v="238"/>
    <n v="9"/>
    <x v="0"/>
    <x v="10"/>
    <x v="4"/>
    <d v="2021-03-13T00:00:00"/>
    <s v="Charles Henderson"/>
    <x v="0"/>
    <s v="Tampa"/>
    <x v="34"/>
    <x v="6"/>
  </r>
  <r>
    <s v="B-26863"/>
    <n v="4037"/>
    <n v="2543"/>
    <n v="1494"/>
    <n v="15"/>
    <x v="2"/>
    <x v="5"/>
    <x v="2"/>
    <d v="2023-04-01T00:00:00"/>
    <s v="Brenda Davis"/>
    <x v="3"/>
    <s v="San Francisco"/>
    <x v="28"/>
    <x v="11"/>
  </r>
  <r>
    <s v="B-25759"/>
    <n v="5014"/>
    <n v="2682"/>
    <n v="2332"/>
    <n v="2"/>
    <x v="2"/>
    <x v="5"/>
    <x v="4"/>
    <d v="2020-11-10T00:00:00"/>
    <s v="Leah Calderon"/>
    <x v="1"/>
    <s v="Chicago"/>
    <x v="11"/>
    <x v="5"/>
  </r>
  <r>
    <s v="B-26357"/>
    <n v="9879"/>
    <n v="4949"/>
    <n v="4930"/>
    <n v="15"/>
    <x v="0"/>
    <x v="3"/>
    <x v="1"/>
    <d v="2023-06-08T00:00:00"/>
    <s v="Brandi Vasquez"/>
    <x v="2"/>
    <s v="Rochester"/>
    <x v="0"/>
    <x v="0"/>
  </r>
  <r>
    <s v="B-26819"/>
    <n v="8762"/>
    <n v="5260"/>
    <n v="3502"/>
    <n v="1"/>
    <x v="0"/>
    <x v="10"/>
    <x v="1"/>
    <d v="2021-08-17T00:00:00"/>
    <s v="Debra Richards"/>
    <x v="0"/>
    <s v="Tampa"/>
    <x v="36"/>
    <x v="9"/>
  </r>
  <r>
    <s v="B-25502"/>
    <n v="8490"/>
    <n v="7690"/>
    <n v="800"/>
    <n v="1"/>
    <x v="1"/>
    <x v="2"/>
    <x v="2"/>
    <d v="2020-05-24T00:00:00"/>
    <s v="Tammy Day"/>
    <x v="2"/>
    <s v="New York City"/>
    <x v="8"/>
    <x v="3"/>
  </r>
  <r>
    <s v="B-25258"/>
    <n v="6951"/>
    <n v="6787"/>
    <n v="164"/>
    <n v="10"/>
    <x v="2"/>
    <x v="7"/>
    <x v="0"/>
    <d v="2021-08-12T00:00:00"/>
    <s v="Sheila Clay"/>
    <x v="2"/>
    <s v="Buffalo"/>
    <x v="36"/>
    <x v="9"/>
  </r>
  <r>
    <s v="B-26878"/>
    <n v="1078"/>
    <n v="769"/>
    <n v="309"/>
    <n v="3"/>
    <x v="0"/>
    <x v="10"/>
    <x v="3"/>
    <d v="2022-09-03T00:00:00"/>
    <s v="Nicholas Flores"/>
    <x v="5"/>
    <s v="Cleveland"/>
    <x v="24"/>
    <x v="10"/>
  </r>
  <r>
    <s v="B-26878"/>
    <n v="1078"/>
    <n v="769"/>
    <n v="309"/>
    <n v="3"/>
    <x v="0"/>
    <x v="10"/>
    <x v="3"/>
    <d v="2020-10-01T00:00:00"/>
    <s v="Jasmin Jones"/>
    <x v="1"/>
    <s v="Chicago"/>
    <x v="20"/>
    <x v="4"/>
  </r>
  <r>
    <s v="B-25170"/>
    <n v="8560"/>
    <n v="6394"/>
    <n v="2166"/>
    <n v="19"/>
    <x v="1"/>
    <x v="9"/>
    <x v="2"/>
    <d v="2022-05-27T00:00:00"/>
    <s v="Matthew Gardner"/>
    <x v="0"/>
    <s v="Tampa"/>
    <x v="37"/>
    <x v="3"/>
  </r>
  <r>
    <s v="B-25170"/>
    <n v="1031"/>
    <n v="713"/>
    <n v="318"/>
    <n v="20"/>
    <x v="0"/>
    <x v="0"/>
    <x v="0"/>
    <d v="2022-05-27T00:00:00"/>
    <s v="Matthew Gardner"/>
    <x v="0"/>
    <s v="Tampa"/>
    <x v="37"/>
    <x v="3"/>
  </r>
  <r>
    <s v="B-26842"/>
    <n v="6402"/>
    <n v="3632"/>
    <n v="2770"/>
    <n v="19"/>
    <x v="1"/>
    <x v="6"/>
    <x v="1"/>
    <d v="2024-03-10T00:00:00"/>
    <s v="Joseph Perkins"/>
    <x v="0"/>
    <s v="Orlando"/>
    <x v="55"/>
    <x v="6"/>
  </r>
  <r>
    <s v="B-26842"/>
    <n v="6402"/>
    <n v="3632"/>
    <n v="2770"/>
    <n v="19"/>
    <x v="1"/>
    <x v="6"/>
    <x v="1"/>
    <d v="2023-10-05T00:00:00"/>
    <s v="Ashley Adams MD"/>
    <x v="0"/>
    <s v="Orlando"/>
    <x v="59"/>
    <x v="4"/>
  </r>
  <r>
    <s v="B-26842"/>
    <n v="5916"/>
    <n v="4322"/>
    <n v="1594"/>
    <n v="19"/>
    <x v="0"/>
    <x v="1"/>
    <x v="1"/>
    <d v="2024-03-10T00:00:00"/>
    <s v="Joseph Perkins"/>
    <x v="0"/>
    <s v="Orlando"/>
    <x v="55"/>
    <x v="6"/>
  </r>
  <r>
    <s v="B-26842"/>
    <n v="5916"/>
    <n v="4322"/>
    <n v="1594"/>
    <n v="19"/>
    <x v="0"/>
    <x v="1"/>
    <x v="1"/>
    <d v="2023-10-05T00:00:00"/>
    <s v="Ashley Adams MD"/>
    <x v="0"/>
    <s v="Orlando"/>
    <x v="59"/>
    <x v="4"/>
  </r>
  <r>
    <s v="B-26599"/>
    <n v="4015"/>
    <n v="2264"/>
    <n v="1751"/>
    <n v="15"/>
    <x v="2"/>
    <x v="5"/>
    <x v="1"/>
    <d v="2022-08-28T00:00:00"/>
    <s v="Cheryl Stevens"/>
    <x v="3"/>
    <s v="San Francisco"/>
    <x v="40"/>
    <x v="9"/>
  </r>
  <r>
    <s v="B-26599"/>
    <n v="4015"/>
    <n v="2264"/>
    <n v="1751"/>
    <n v="15"/>
    <x v="2"/>
    <x v="5"/>
    <x v="1"/>
    <d v="2020-09-08T00:00:00"/>
    <s v="Jorge George"/>
    <x v="2"/>
    <s v="New York City"/>
    <x v="57"/>
    <x v="10"/>
  </r>
  <r>
    <s v="B-25705"/>
    <n v="9335"/>
    <n v="8778"/>
    <n v="557"/>
    <n v="11"/>
    <x v="0"/>
    <x v="0"/>
    <x v="4"/>
    <d v="2021-04-27T00:00:00"/>
    <s v="Ann Mooney"/>
    <x v="3"/>
    <s v="Los Angeles"/>
    <x v="27"/>
    <x v="11"/>
  </r>
  <r>
    <s v="B-26366"/>
    <n v="4706"/>
    <n v="4112"/>
    <n v="594"/>
    <n v="11"/>
    <x v="1"/>
    <x v="9"/>
    <x v="4"/>
    <d v="2021-08-21T00:00:00"/>
    <s v="James Mendoza"/>
    <x v="5"/>
    <s v="Cleveland"/>
    <x v="36"/>
    <x v="9"/>
  </r>
  <r>
    <s v="B-26366"/>
    <n v="4706"/>
    <n v="4112"/>
    <n v="594"/>
    <n v="11"/>
    <x v="1"/>
    <x v="9"/>
    <x v="4"/>
    <d v="2021-05-16T00:00:00"/>
    <s v="Kaitlin Garrison"/>
    <x v="5"/>
    <s v="Columbus"/>
    <x v="18"/>
    <x v="3"/>
  </r>
  <r>
    <s v="B-26366"/>
    <n v="6584"/>
    <n v="6213"/>
    <n v="371"/>
    <n v="6"/>
    <x v="1"/>
    <x v="6"/>
    <x v="0"/>
    <d v="2021-08-21T00:00:00"/>
    <s v="James Mendoza"/>
    <x v="5"/>
    <s v="Cleveland"/>
    <x v="36"/>
    <x v="9"/>
  </r>
  <r>
    <s v="B-26366"/>
    <n v="6584"/>
    <n v="6213"/>
    <n v="371"/>
    <n v="6"/>
    <x v="1"/>
    <x v="6"/>
    <x v="0"/>
    <d v="2021-05-16T00:00:00"/>
    <s v="Kaitlin Garrison"/>
    <x v="5"/>
    <s v="Columbus"/>
    <x v="18"/>
    <x v="3"/>
  </r>
  <r>
    <s v="B-26116"/>
    <n v="6389"/>
    <n v="5655"/>
    <n v="734"/>
    <n v="1"/>
    <x v="2"/>
    <x v="7"/>
    <x v="2"/>
    <d v="2022-01-15T00:00:00"/>
    <s v="Jeremy Jackson"/>
    <x v="4"/>
    <s v="Dallas"/>
    <x v="12"/>
    <x v="8"/>
  </r>
  <r>
    <s v="B-26443"/>
    <n v="9869"/>
    <n v="5570"/>
    <n v="4299"/>
    <n v="12"/>
    <x v="0"/>
    <x v="1"/>
    <x v="1"/>
    <d v="2023-03-21T00:00:00"/>
    <s v="Dale Craig"/>
    <x v="3"/>
    <s v="San Diego"/>
    <x v="45"/>
    <x v="6"/>
  </r>
  <r>
    <s v="B-26443"/>
    <n v="9869"/>
    <n v="5570"/>
    <n v="4299"/>
    <n v="12"/>
    <x v="0"/>
    <x v="1"/>
    <x v="1"/>
    <d v="2023-12-28T00:00:00"/>
    <s v="Joseph Hooper"/>
    <x v="2"/>
    <s v="Buffalo"/>
    <x v="16"/>
    <x v="1"/>
  </r>
  <r>
    <s v="B-25955"/>
    <n v="655"/>
    <n v="358"/>
    <n v="297"/>
    <n v="4"/>
    <x v="1"/>
    <x v="6"/>
    <x v="1"/>
    <d v="2022-02-15T00:00:00"/>
    <s v="Alexander Adams"/>
    <x v="2"/>
    <s v="Buffalo"/>
    <x v="26"/>
    <x v="7"/>
  </r>
  <r>
    <s v="B-25955"/>
    <n v="655"/>
    <n v="358"/>
    <n v="297"/>
    <n v="4"/>
    <x v="1"/>
    <x v="6"/>
    <x v="1"/>
    <d v="2023-11-30T00:00:00"/>
    <s v="Ashlee Mills"/>
    <x v="0"/>
    <s v="Orlando"/>
    <x v="6"/>
    <x v="5"/>
  </r>
  <r>
    <s v="B-26383"/>
    <n v="798"/>
    <n v="490"/>
    <n v="308"/>
    <n v="10"/>
    <x v="0"/>
    <x v="10"/>
    <x v="1"/>
    <d v="2023-01-12T00:00:00"/>
    <s v="Brittany Jenkins"/>
    <x v="2"/>
    <s v="Buffalo"/>
    <x v="54"/>
    <x v="8"/>
  </r>
  <r>
    <s v="B-26383"/>
    <n v="798"/>
    <n v="490"/>
    <n v="308"/>
    <n v="10"/>
    <x v="0"/>
    <x v="10"/>
    <x v="1"/>
    <d v="2023-05-19T00:00:00"/>
    <s v="Eddie Gonzales"/>
    <x v="5"/>
    <s v="Cleveland"/>
    <x v="23"/>
    <x v="3"/>
  </r>
  <r>
    <s v="B-26383"/>
    <n v="7967"/>
    <n v="5463"/>
    <n v="2504"/>
    <n v="13"/>
    <x v="0"/>
    <x v="1"/>
    <x v="2"/>
    <d v="2023-01-12T00:00:00"/>
    <s v="Brittany Jenkins"/>
    <x v="2"/>
    <s v="Buffalo"/>
    <x v="54"/>
    <x v="8"/>
  </r>
  <r>
    <s v="B-26383"/>
    <n v="7967"/>
    <n v="5463"/>
    <n v="2504"/>
    <n v="13"/>
    <x v="0"/>
    <x v="1"/>
    <x v="2"/>
    <d v="2023-05-19T00:00:00"/>
    <s v="Eddie Gonzales"/>
    <x v="5"/>
    <s v="Cleveland"/>
    <x v="23"/>
    <x v="3"/>
  </r>
  <r>
    <s v="B-26999"/>
    <n v="3756"/>
    <n v="2438"/>
    <n v="1318"/>
    <n v="5"/>
    <x v="2"/>
    <x v="4"/>
    <x v="0"/>
    <d v="2024-02-19T00:00:00"/>
    <s v="Edward Valencia"/>
    <x v="0"/>
    <s v="Miami"/>
    <x v="42"/>
    <x v="7"/>
  </r>
  <r>
    <s v="B-26712"/>
    <n v="5196"/>
    <n v="2719"/>
    <n v="2477"/>
    <n v="1"/>
    <x v="1"/>
    <x v="6"/>
    <x v="0"/>
    <d v="2021-12-01T00:00:00"/>
    <s v="Emma Bruce"/>
    <x v="4"/>
    <s v="Austin"/>
    <x v="13"/>
    <x v="1"/>
  </r>
  <r>
    <s v="B-26712"/>
    <n v="6586"/>
    <n v="4792"/>
    <n v="1794"/>
    <n v="19"/>
    <x v="2"/>
    <x v="11"/>
    <x v="1"/>
    <d v="2021-12-01T00:00:00"/>
    <s v="Emma Bruce"/>
    <x v="4"/>
    <s v="Austin"/>
    <x v="13"/>
    <x v="1"/>
  </r>
  <r>
    <s v="B-26066"/>
    <n v="6673"/>
    <n v="5723"/>
    <n v="950"/>
    <n v="19"/>
    <x v="1"/>
    <x v="6"/>
    <x v="2"/>
    <d v="2024-12-19T00:00:00"/>
    <s v="Carl Wade DDS"/>
    <x v="2"/>
    <s v="Buffalo"/>
    <x v="1"/>
    <x v="1"/>
  </r>
  <r>
    <s v="B-25996"/>
    <n v="714"/>
    <n v="482"/>
    <n v="232"/>
    <n v="14"/>
    <x v="2"/>
    <x v="4"/>
    <x v="0"/>
    <d v="2023-01-18T00:00:00"/>
    <s v="Brandon Alvarado"/>
    <x v="5"/>
    <s v="Columbus"/>
    <x v="54"/>
    <x v="8"/>
  </r>
  <r>
    <s v="B-25996"/>
    <n v="714"/>
    <n v="482"/>
    <n v="232"/>
    <n v="14"/>
    <x v="2"/>
    <x v="4"/>
    <x v="0"/>
    <d v="2020-12-23T00:00:00"/>
    <s v="Jennifer Clark"/>
    <x v="4"/>
    <s v="Austin"/>
    <x v="50"/>
    <x v="1"/>
  </r>
  <r>
    <s v="B-26924"/>
    <n v="1083"/>
    <n v="582"/>
    <n v="501"/>
    <n v="6"/>
    <x v="1"/>
    <x v="2"/>
    <x v="4"/>
    <d v="2021-02-28T00:00:00"/>
    <s v="David Johnson"/>
    <x v="4"/>
    <s v="Austin"/>
    <x v="51"/>
    <x v="7"/>
  </r>
  <r>
    <s v="B-25541"/>
    <n v="2401"/>
    <n v="1238"/>
    <n v="1163"/>
    <n v="10"/>
    <x v="2"/>
    <x v="11"/>
    <x v="0"/>
    <d v="2023-05-04T00:00:00"/>
    <s v="April Marquez"/>
    <x v="5"/>
    <s v="Cleveland"/>
    <x v="23"/>
    <x v="3"/>
  </r>
  <r>
    <s v="B-25541"/>
    <n v="2401"/>
    <n v="1238"/>
    <n v="1163"/>
    <n v="10"/>
    <x v="2"/>
    <x v="11"/>
    <x v="0"/>
    <d v="2020-04-22T00:00:00"/>
    <s v="Joseph Guerrero"/>
    <x v="3"/>
    <s v="Los Angeles"/>
    <x v="32"/>
    <x v="11"/>
  </r>
  <r>
    <s v="B-25541"/>
    <n v="2401"/>
    <n v="1238"/>
    <n v="1163"/>
    <n v="10"/>
    <x v="2"/>
    <x v="11"/>
    <x v="0"/>
    <d v="2021-08-13T00:00:00"/>
    <s v="Michael Hanson"/>
    <x v="2"/>
    <s v="Rochester"/>
    <x v="36"/>
    <x v="9"/>
  </r>
  <r>
    <s v="B-25541"/>
    <n v="1045"/>
    <n v="778"/>
    <n v="267"/>
    <n v="11"/>
    <x v="0"/>
    <x v="10"/>
    <x v="1"/>
    <d v="2023-05-04T00:00:00"/>
    <s v="April Marquez"/>
    <x v="5"/>
    <s v="Cleveland"/>
    <x v="23"/>
    <x v="3"/>
  </r>
  <r>
    <s v="B-25541"/>
    <n v="1045"/>
    <n v="778"/>
    <n v="267"/>
    <n v="11"/>
    <x v="0"/>
    <x v="10"/>
    <x v="1"/>
    <d v="2020-04-22T00:00:00"/>
    <s v="Joseph Guerrero"/>
    <x v="3"/>
    <s v="Los Angeles"/>
    <x v="32"/>
    <x v="11"/>
  </r>
  <r>
    <s v="B-25541"/>
    <n v="1045"/>
    <n v="778"/>
    <n v="267"/>
    <n v="11"/>
    <x v="0"/>
    <x v="10"/>
    <x v="1"/>
    <d v="2021-08-13T00:00:00"/>
    <s v="Michael Hanson"/>
    <x v="2"/>
    <s v="Rochester"/>
    <x v="36"/>
    <x v="9"/>
  </r>
  <r>
    <s v="B-25196"/>
    <n v="7806"/>
    <n v="6679"/>
    <n v="1127"/>
    <n v="1"/>
    <x v="1"/>
    <x v="6"/>
    <x v="3"/>
    <d v="2023-07-20T00:00:00"/>
    <s v="William Hill"/>
    <x v="4"/>
    <s v="Dallas"/>
    <x v="17"/>
    <x v="2"/>
  </r>
  <r>
    <s v="B-25855"/>
    <n v="5263"/>
    <n v="3520"/>
    <n v="1743"/>
    <n v="19"/>
    <x v="2"/>
    <x v="7"/>
    <x v="3"/>
    <d v="2022-08-28T00:00:00"/>
    <s v="Kelsey Huber"/>
    <x v="0"/>
    <s v="Miami"/>
    <x v="40"/>
    <x v="9"/>
  </r>
  <r>
    <s v="B-25071"/>
    <n v="6147"/>
    <n v="3621"/>
    <n v="2526"/>
    <n v="6"/>
    <x v="1"/>
    <x v="2"/>
    <x v="1"/>
    <d v="2023-03-14T00:00:00"/>
    <s v="Hailey Chandler"/>
    <x v="4"/>
    <s v="Dallas"/>
    <x v="45"/>
    <x v="6"/>
  </r>
  <r>
    <s v="B-26159"/>
    <n v="7484"/>
    <n v="4613"/>
    <n v="2871"/>
    <n v="15"/>
    <x v="0"/>
    <x v="10"/>
    <x v="0"/>
    <d v="2023-11-07T00:00:00"/>
    <s v="Cheyenne Rose"/>
    <x v="0"/>
    <s v="Orlando"/>
    <x v="6"/>
    <x v="5"/>
  </r>
  <r>
    <s v="B-26159"/>
    <n v="7484"/>
    <n v="4613"/>
    <n v="2871"/>
    <n v="15"/>
    <x v="0"/>
    <x v="10"/>
    <x v="0"/>
    <d v="2024-04-16T00:00:00"/>
    <s v="Richard Petersen"/>
    <x v="1"/>
    <s v="Chicago"/>
    <x v="44"/>
    <x v="11"/>
  </r>
  <r>
    <s v="B-26159"/>
    <n v="7700"/>
    <n v="4988"/>
    <n v="2712"/>
    <n v="1"/>
    <x v="2"/>
    <x v="7"/>
    <x v="3"/>
    <d v="2023-11-07T00:00:00"/>
    <s v="Cheyenne Rose"/>
    <x v="0"/>
    <s v="Orlando"/>
    <x v="6"/>
    <x v="5"/>
  </r>
  <r>
    <s v="B-26159"/>
    <n v="7700"/>
    <n v="4988"/>
    <n v="2712"/>
    <n v="1"/>
    <x v="2"/>
    <x v="7"/>
    <x v="3"/>
    <d v="2024-04-16T00:00:00"/>
    <s v="Richard Petersen"/>
    <x v="1"/>
    <s v="Chicago"/>
    <x v="44"/>
    <x v="11"/>
  </r>
  <r>
    <s v="B-26228"/>
    <n v="8537"/>
    <n v="4951"/>
    <n v="3586"/>
    <n v="13"/>
    <x v="1"/>
    <x v="6"/>
    <x v="0"/>
    <d v="2022-09-16T00:00:00"/>
    <s v="Kathryn Gray"/>
    <x v="2"/>
    <s v="Rochester"/>
    <x v="24"/>
    <x v="10"/>
  </r>
  <r>
    <s v="B-25888"/>
    <n v="8858"/>
    <n v="5464"/>
    <n v="3394"/>
    <n v="6"/>
    <x v="2"/>
    <x v="5"/>
    <x v="4"/>
    <d v="2024-10-31T00:00:00"/>
    <s v="Victor Collins"/>
    <x v="3"/>
    <s v="San Diego"/>
    <x v="56"/>
    <x v="4"/>
  </r>
  <r>
    <s v="B-25574"/>
    <n v="5313"/>
    <n v="3276"/>
    <n v="2037"/>
    <n v="7"/>
    <x v="0"/>
    <x v="1"/>
    <x v="1"/>
    <d v="2024-11-25T00:00:00"/>
    <s v="Jason Hernandez"/>
    <x v="3"/>
    <s v="San Francisco"/>
    <x v="46"/>
    <x v="5"/>
  </r>
  <r>
    <s v="B-25574"/>
    <n v="5313"/>
    <n v="3276"/>
    <n v="2037"/>
    <n v="7"/>
    <x v="0"/>
    <x v="1"/>
    <x v="1"/>
    <d v="2021-10-29T00:00:00"/>
    <s v="Jacob Torres"/>
    <x v="4"/>
    <s v="Houston"/>
    <x v="4"/>
    <x v="4"/>
  </r>
  <r>
    <s v="B-26938"/>
    <n v="3281"/>
    <n v="2810"/>
    <n v="471"/>
    <n v="7"/>
    <x v="2"/>
    <x v="7"/>
    <x v="2"/>
    <d v="2023-12-27T00:00:00"/>
    <s v="Erin Hernandez"/>
    <x v="3"/>
    <s v="Los Angeles"/>
    <x v="16"/>
    <x v="1"/>
  </r>
  <r>
    <s v="B-26938"/>
    <n v="3281"/>
    <n v="2810"/>
    <n v="471"/>
    <n v="7"/>
    <x v="2"/>
    <x v="7"/>
    <x v="2"/>
    <d v="2023-06-25T00:00:00"/>
    <s v="Jacob Guzman"/>
    <x v="1"/>
    <s v="Peoria"/>
    <x v="0"/>
    <x v="0"/>
  </r>
  <r>
    <s v="B-26379"/>
    <n v="8681"/>
    <n v="6223"/>
    <n v="2458"/>
    <n v="9"/>
    <x v="1"/>
    <x v="2"/>
    <x v="3"/>
    <d v="2020-09-01T00:00:00"/>
    <s v="Mike Armstrong"/>
    <x v="2"/>
    <s v="New York City"/>
    <x v="57"/>
    <x v="10"/>
  </r>
  <r>
    <s v="B-26623"/>
    <n v="6195"/>
    <n v="4639"/>
    <n v="1556"/>
    <n v="18"/>
    <x v="2"/>
    <x v="7"/>
    <x v="2"/>
    <d v="2025-02-01T00:00:00"/>
    <s v="Cindy Rowland"/>
    <x v="1"/>
    <s v="Springfield"/>
    <x v="9"/>
    <x v="7"/>
  </r>
  <r>
    <s v="B-25566"/>
    <n v="3877"/>
    <n v="3396"/>
    <n v="481"/>
    <n v="16"/>
    <x v="2"/>
    <x v="5"/>
    <x v="1"/>
    <d v="2023-07-22T00:00:00"/>
    <s v="Kenneth Matthews"/>
    <x v="2"/>
    <s v="Rochester"/>
    <x v="17"/>
    <x v="2"/>
  </r>
  <r>
    <s v="B-25566"/>
    <n v="3877"/>
    <n v="3396"/>
    <n v="481"/>
    <n v="16"/>
    <x v="2"/>
    <x v="5"/>
    <x v="1"/>
    <d v="2022-02-04T00:00:00"/>
    <s v="Susan Valdez"/>
    <x v="2"/>
    <s v="New York City"/>
    <x v="26"/>
    <x v="7"/>
  </r>
  <r>
    <s v="B-26740"/>
    <n v="9369"/>
    <n v="6072"/>
    <n v="3297"/>
    <n v="6"/>
    <x v="0"/>
    <x v="1"/>
    <x v="1"/>
    <d v="2023-09-27T00:00:00"/>
    <s v="Stephanie Manning"/>
    <x v="0"/>
    <s v="Orlando"/>
    <x v="48"/>
    <x v="10"/>
  </r>
  <r>
    <s v="B-26740"/>
    <n v="9369"/>
    <n v="6072"/>
    <n v="3297"/>
    <n v="6"/>
    <x v="0"/>
    <x v="1"/>
    <x v="1"/>
    <d v="2025-01-30T00:00:00"/>
    <s v="Logan Galloway"/>
    <x v="2"/>
    <s v="New York City"/>
    <x v="52"/>
    <x v="8"/>
  </r>
  <r>
    <s v="B-26740"/>
    <n v="8680"/>
    <n v="4612"/>
    <n v="4068"/>
    <n v="20"/>
    <x v="0"/>
    <x v="1"/>
    <x v="3"/>
    <d v="2023-09-27T00:00:00"/>
    <s v="Stephanie Manning"/>
    <x v="0"/>
    <s v="Orlando"/>
    <x v="48"/>
    <x v="10"/>
  </r>
  <r>
    <s v="B-26740"/>
    <n v="8680"/>
    <n v="4612"/>
    <n v="4068"/>
    <n v="20"/>
    <x v="0"/>
    <x v="1"/>
    <x v="3"/>
    <d v="2025-01-30T00:00:00"/>
    <s v="Logan Galloway"/>
    <x v="2"/>
    <s v="New York City"/>
    <x v="52"/>
    <x v="8"/>
  </r>
  <r>
    <s v="B-26740"/>
    <n v="3067"/>
    <n v="1592"/>
    <n v="1475"/>
    <n v="8"/>
    <x v="0"/>
    <x v="3"/>
    <x v="0"/>
    <d v="2023-09-27T00:00:00"/>
    <s v="Stephanie Manning"/>
    <x v="0"/>
    <s v="Orlando"/>
    <x v="48"/>
    <x v="10"/>
  </r>
  <r>
    <s v="B-26740"/>
    <n v="3067"/>
    <n v="1592"/>
    <n v="1475"/>
    <n v="8"/>
    <x v="0"/>
    <x v="3"/>
    <x v="0"/>
    <d v="2025-01-30T00:00:00"/>
    <s v="Logan Galloway"/>
    <x v="2"/>
    <s v="New York City"/>
    <x v="52"/>
    <x v="8"/>
  </r>
  <r>
    <s v="B-25024"/>
    <n v="9002"/>
    <n v="4805"/>
    <n v="4197"/>
    <n v="2"/>
    <x v="1"/>
    <x v="6"/>
    <x v="2"/>
    <d v="2025-01-15T00:00:00"/>
    <s v="Christopher Stone"/>
    <x v="5"/>
    <s v="Cincinnati"/>
    <x v="52"/>
    <x v="8"/>
  </r>
  <r>
    <s v="B-25024"/>
    <n v="9002"/>
    <n v="4805"/>
    <n v="4197"/>
    <n v="2"/>
    <x v="1"/>
    <x v="6"/>
    <x v="2"/>
    <d v="2021-03-28T00:00:00"/>
    <s v="Megan Pitts"/>
    <x v="5"/>
    <s v="Columbus"/>
    <x v="34"/>
    <x v="6"/>
  </r>
  <r>
    <s v="B-26367"/>
    <n v="7105"/>
    <n v="4323"/>
    <n v="2782"/>
    <n v="19"/>
    <x v="1"/>
    <x v="2"/>
    <x v="4"/>
    <d v="2021-12-25T00:00:00"/>
    <s v="Richard Gardner"/>
    <x v="5"/>
    <s v="Columbus"/>
    <x v="13"/>
    <x v="1"/>
  </r>
  <r>
    <s v="B-26353"/>
    <n v="5317"/>
    <n v="3972"/>
    <n v="1345"/>
    <n v="18"/>
    <x v="2"/>
    <x v="5"/>
    <x v="1"/>
    <d v="2023-02-03T00:00:00"/>
    <s v="Samuel Moore"/>
    <x v="5"/>
    <s v="Columbus"/>
    <x v="14"/>
    <x v="7"/>
  </r>
  <r>
    <s v="B-26353"/>
    <n v="5317"/>
    <n v="3972"/>
    <n v="1345"/>
    <n v="18"/>
    <x v="2"/>
    <x v="5"/>
    <x v="1"/>
    <d v="2023-04-28T00:00:00"/>
    <s v="Robert Stokes"/>
    <x v="0"/>
    <s v="Orlando"/>
    <x v="28"/>
    <x v="11"/>
  </r>
  <r>
    <s v="B-26353"/>
    <n v="5317"/>
    <n v="3972"/>
    <n v="1345"/>
    <n v="18"/>
    <x v="2"/>
    <x v="5"/>
    <x v="1"/>
    <d v="2024-11-22T00:00:00"/>
    <s v="Danielle Ramirez"/>
    <x v="3"/>
    <s v="San Francisco"/>
    <x v="46"/>
    <x v="5"/>
  </r>
  <r>
    <s v="B-26353"/>
    <n v="6304"/>
    <n v="5538"/>
    <n v="766"/>
    <n v="14"/>
    <x v="2"/>
    <x v="4"/>
    <x v="2"/>
    <d v="2023-02-03T00:00:00"/>
    <s v="Samuel Moore"/>
    <x v="5"/>
    <s v="Columbus"/>
    <x v="14"/>
    <x v="7"/>
  </r>
  <r>
    <s v="B-26353"/>
    <n v="6304"/>
    <n v="5538"/>
    <n v="766"/>
    <n v="14"/>
    <x v="2"/>
    <x v="4"/>
    <x v="2"/>
    <d v="2023-04-28T00:00:00"/>
    <s v="Robert Stokes"/>
    <x v="0"/>
    <s v="Orlando"/>
    <x v="28"/>
    <x v="11"/>
  </r>
  <r>
    <s v="B-26353"/>
    <n v="6304"/>
    <n v="5538"/>
    <n v="766"/>
    <n v="14"/>
    <x v="2"/>
    <x v="4"/>
    <x v="2"/>
    <d v="2024-11-22T00:00:00"/>
    <s v="Danielle Ramirez"/>
    <x v="3"/>
    <s v="San Francisco"/>
    <x v="46"/>
    <x v="5"/>
  </r>
  <r>
    <s v="B-25742"/>
    <n v="9565"/>
    <n v="7874"/>
    <n v="1691"/>
    <n v="3"/>
    <x v="1"/>
    <x v="8"/>
    <x v="1"/>
    <d v="2024-07-02T00:00:00"/>
    <s v="Taylor White"/>
    <x v="1"/>
    <s v="Springfield"/>
    <x v="41"/>
    <x v="2"/>
  </r>
  <r>
    <s v="B-25742"/>
    <n v="8245"/>
    <n v="7921"/>
    <n v="324"/>
    <n v="11"/>
    <x v="1"/>
    <x v="8"/>
    <x v="2"/>
    <d v="2024-07-02T00:00:00"/>
    <s v="Taylor White"/>
    <x v="1"/>
    <s v="Springfield"/>
    <x v="41"/>
    <x v="2"/>
  </r>
  <r>
    <s v="B-26965"/>
    <n v="1592"/>
    <n v="1112"/>
    <n v="480"/>
    <n v="13"/>
    <x v="0"/>
    <x v="3"/>
    <x v="1"/>
    <d v="2022-01-18T00:00:00"/>
    <s v="Jordan Krause"/>
    <x v="5"/>
    <s v="Cleveland"/>
    <x v="12"/>
    <x v="8"/>
  </r>
  <r>
    <s v="B-26038"/>
    <n v="8400"/>
    <n v="8133"/>
    <n v="267"/>
    <n v="5"/>
    <x v="0"/>
    <x v="10"/>
    <x v="1"/>
    <d v="2024-10-08T00:00:00"/>
    <s v="Kimberly King"/>
    <x v="5"/>
    <s v="Columbus"/>
    <x v="56"/>
    <x v="4"/>
  </r>
  <r>
    <s v="B-26038"/>
    <n v="4963"/>
    <n v="3709"/>
    <n v="1254"/>
    <n v="15"/>
    <x v="1"/>
    <x v="8"/>
    <x v="2"/>
    <d v="2024-10-08T00:00:00"/>
    <s v="Kimberly King"/>
    <x v="5"/>
    <s v="Columbus"/>
    <x v="56"/>
    <x v="4"/>
  </r>
  <r>
    <s v="B-25317"/>
    <n v="2472"/>
    <n v="2261"/>
    <n v="211"/>
    <n v="5"/>
    <x v="0"/>
    <x v="1"/>
    <x v="4"/>
    <d v="2020-06-21T00:00:00"/>
    <s v="Sharon Russell"/>
    <x v="3"/>
    <s v="San Diego"/>
    <x v="53"/>
    <x v="0"/>
  </r>
  <r>
    <s v="B-25970"/>
    <n v="9132"/>
    <n v="6036"/>
    <n v="3096"/>
    <n v="14"/>
    <x v="2"/>
    <x v="5"/>
    <x v="1"/>
    <d v="2023-12-14T00:00:00"/>
    <s v="Kevin Cooper"/>
    <x v="0"/>
    <s v="Tampa"/>
    <x v="16"/>
    <x v="1"/>
  </r>
  <r>
    <s v="B-25590"/>
    <n v="8305"/>
    <n v="6728"/>
    <n v="1577"/>
    <n v="6"/>
    <x v="1"/>
    <x v="9"/>
    <x v="1"/>
    <d v="2020-12-16T00:00:00"/>
    <s v="Darrell Ramos"/>
    <x v="2"/>
    <s v="Rochester"/>
    <x v="50"/>
    <x v="1"/>
  </r>
  <r>
    <s v="B-25580"/>
    <n v="1010"/>
    <n v="952"/>
    <n v="58"/>
    <n v="19"/>
    <x v="0"/>
    <x v="0"/>
    <x v="4"/>
    <d v="2025-03-15T00:00:00"/>
    <s v="Dr. Terry Alvarado"/>
    <x v="0"/>
    <s v="Tampa"/>
    <x v="30"/>
    <x v="6"/>
  </r>
  <r>
    <s v="B-25443"/>
    <n v="4544"/>
    <n v="2818"/>
    <n v="1726"/>
    <n v="9"/>
    <x v="0"/>
    <x v="10"/>
    <x v="2"/>
    <d v="2024-08-21T00:00:00"/>
    <s v="Kathy Wilson"/>
    <x v="4"/>
    <s v="Dallas"/>
    <x v="19"/>
    <x v="9"/>
  </r>
  <r>
    <s v="B-25443"/>
    <n v="5900"/>
    <n v="4162"/>
    <n v="1738"/>
    <n v="20"/>
    <x v="0"/>
    <x v="10"/>
    <x v="0"/>
    <d v="2024-08-21T00:00:00"/>
    <s v="Kathy Wilson"/>
    <x v="4"/>
    <s v="Dallas"/>
    <x v="19"/>
    <x v="9"/>
  </r>
  <r>
    <s v="B-25774"/>
    <n v="8861"/>
    <n v="5480"/>
    <n v="3381"/>
    <n v="19"/>
    <x v="1"/>
    <x v="6"/>
    <x v="3"/>
    <d v="2021-05-27T00:00:00"/>
    <s v="Brandon Le"/>
    <x v="3"/>
    <s v="San Diego"/>
    <x v="18"/>
    <x v="3"/>
  </r>
  <r>
    <s v="B-26505"/>
    <n v="8158"/>
    <n v="6106"/>
    <n v="2052"/>
    <n v="13"/>
    <x v="0"/>
    <x v="10"/>
    <x v="1"/>
    <d v="2020-09-21T00:00:00"/>
    <s v="Mary Wright"/>
    <x v="5"/>
    <s v="Cincinnati"/>
    <x v="57"/>
    <x v="10"/>
  </r>
  <r>
    <s v="B-25163"/>
    <n v="3411"/>
    <n v="1707"/>
    <n v="1704"/>
    <n v="14"/>
    <x v="1"/>
    <x v="2"/>
    <x v="0"/>
    <d v="2025-01-11T00:00:00"/>
    <s v="Douglas Reynolds"/>
    <x v="3"/>
    <s v="Los Angeles"/>
    <x v="52"/>
    <x v="8"/>
  </r>
  <r>
    <s v="B-26095"/>
    <n v="9406"/>
    <n v="8269"/>
    <n v="1137"/>
    <n v="16"/>
    <x v="1"/>
    <x v="6"/>
    <x v="0"/>
    <d v="2021-10-20T00:00:00"/>
    <s v="Leroy Harris"/>
    <x v="4"/>
    <s v="Houston"/>
    <x v="4"/>
    <x v="4"/>
  </r>
  <r>
    <s v="B-26095"/>
    <n v="1156"/>
    <n v="1082"/>
    <n v="74"/>
    <n v="15"/>
    <x v="0"/>
    <x v="1"/>
    <x v="2"/>
    <d v="2021-10-20T00:00:00"/>
    <s v="Leroy Harris"/>
    <x v="4"/>
    <s v="Houston"/>
    <x v="4"/>
    <x v="4"/>
  </r>
  <r>
    <s v="B-25768"/>
    <n v="5354"/>
    <n v="4611"/>
    <n v="743"/>
    <n v="10"/>
    <x v="2"/>
    <x v="11"/>
    <x v="0"/>
    <d v="2021-10-19T00:00:00"/>
    <s v="Ricardo Dixon"/>
    <x v="1"/>
    <s v="Springfield"/>
    <x v="4"/>
    <x v="4"/>
  </r>
  <r>
    <s v="B-25328"/>
    <n v="8780"/>
    <n v="5350"/>
    <n v="3430"/>
    <n v="4"/>
    <x v="0"/>
    <x v="0"/>
    <x v="3"/>
    <d v="2024-07-07T00:00:00"/>
    <s v="Debra Smith"/>
    <x v="4"/>
    <s v="Austin"/>
    <x v="41"/>
    <x v="2"/>
  </r>
  <r>
    <s v="B-25328"/>
    <n v="8780"/>
    <n v="5350"/>
    <n v="3430"/>
    <n v="4"/>
    <x v="0"/>
    <x v="0"/>
    <x v="3"/>
    <d v="2023-07-25T00:00:00"/>
    <s v="Jasmine James"/>
    <x v="4"/>
    <s v="Austin"/>
    <x v="17"/>
    <x v="2"/>
  </r>
  <r>
    <s v="B-26573"/>
    <n v="6783"/>
    <n v="3477"/>
    <n v="3306"/>
    <n v="8"/>
    <x v="2"/>
    <x v="7"/>
    <x v="1"/>
    <d v="2020-04-16T00:00:00"/>
    <s v="Felicia Morton"/>
    <x v="5"/>
    <s v="Columbus"/>
    <x v="32"/>
    <x v="11"/>
  </r>
  <r>
    <s v="B-25138"/>
    <n v="1778"/>
    <n v="1493"/>
    <n v="285"/>
    <n v="4"/>
    <x v="1"/>
    <x v="2"/>
    <x v="3"/>
    <d v="2020-07-04T00:00:00"/>
    <s v="Sylvia Jenkins"/>
    <x v="2"/>
    <s v="New York City"/>
    <x v="60"/>
    <x v="2"/>
  </r>
  <r>
    <s v="B-26803"/>
    <n v="9399"/>
    <n v="7450"/>
    <n v="1949"/>
    <n v="12"/>
    <x v="0"/>
    <x v="1"/>
    <x v="0"/>
    <d v="2022-05-16T00:00:00"/>
    <s v="Elizabeth White"/>
    <x v="2"/>
    <s v="Rochester"/>
    <x v="37"/>
    <x v="3"/>
  </r>
  <r>
    <s v="B-26803"/>
    <n v="7957"/>
    <n v="6992"/>
    <n v="965"/>
    <n v="4"/>
    <x v="2"/>
    <x v="7"/>
    <x v="3"/>
    <d v="2022-05-16T00:00:00"/>
    <s v="Elizabeth White"/>
    <x v="2"/>
    <s v="Rochester"/>
    <x v="37"/>
    <x v="3"/>
  </r>
  <r>
    <s v="B-25101"/>
    <n v="1638"/>
    <n v="977"/>
    <n v="661"/>
    <n v="13"/>
    <x v="2"/>
    <x v="5"/>
    <x v="2"/>
    <d v="2023-11-25T00:00:00"/>
    <s v="Steven Steele"/>
    <x v="1"/>
    <s v="Springfield"/>
    <x v="6"/>
    <x v="5"/>
  </r>
  <r>
    <s v="B-25827"/>
    <n v="1786"/>
    <n v="1562"/>
    <n v="224"/>
    <n v="4"/>
    <x v="2"/>
    <x v="4"/>
    <x v="4"/>
    <d v="2021-08-17T00:00:00"/>
    <s v="Amanda Ramirez"/>
    <x v="4"/>
    <s v="Dallas"/>
    <x v="36"/>
    <x v="9"/>
  </r>
  <r>
    <s v="B-25792"/>
    <n v="4751"/>
    <n v="3970"/>
    <n v="781"/>
    <n v="9"/>
    <x v="1"/>
    <x v="8"/>
    <x v="2"/>
    <d v="2023-07-02T00:00:00"/>
    <s v="Kyle Jackson"/>
    <x v="2"/>
    <s v="Buffalo"/>
    <x v="17"/>
    <x v="2"/>
  </r>
  <r>
    <s v="B-25646"/>
    <n v="8979"/>
    <n v="4502"/>
    <n v="4477"/>
    <n v="4"/>
    <x v="1"/>
    <x v="8"/>
    <x v="3"/>
    <d v="2020-08-24T00:00:00"/>
    <s v="Sharon Wilkins"/>
    <x v="1"/>
    <s v="Chicago"/>
    <x v="38"/>
    <x v="9"/>
  </r>
  <r>
    <s v="B-25043"/>
    <n v="2727"/>
    <n v="2064"/>
    <n v="663"/>
    <n v="8"/>
    <x v="0"/>
    <x v="10"/>
    <x v="3"/>
    <d v="2022-11-07T00:00:00"/>
    <s v="Austin Hammond"/>
    <x v="0"/>
    <s v="Miami"/>
    <x v="5"/>
    <x v="5"/>
  </r>
  <r>
    <s v="B-26598"/>
    <n v="1093"/>
    <n v="696"/>
    <n v="397"/>
    <n v="17"/>
    <x v="0"/>
    <x v="1"/>
    <x v="3"/>
    <d v="2024-03-27T00:00:00"/>
    <s v="Jessica Barajas"/>
    <x v="1"/>
    <s v="Peoria"/>
    <x v="55"/>
    <x v="6"/>
  </r>
  <r>
    <s v="B-26598"/>
    <n v="1093"/>
    <n v="696"/>
    <n v="397"/>
    <n v="17"/>
    <x v="0"/>
    <x v="1"/>
    <x v="3"/>
    <d v="2024-09-01T00:00:00"/>
    <s v="Jamie Jimenez"/>
    <x v="2"/>
    <s v="Buffalo"/>
    <x v="31"/>
    <x v="10"/>
  </r>
  <r>
    <s v="B-26598"/>
    <n v="1093"/>
    <n v="696"/>
    <n v="397"/>
    <n v="17"/>
    <x v="0"/>
    <x v="1"/>
    <x v="3"/>
    <d v="2022-02-22T00:00:00"/>
    <s v="James Carter"/>
    <x v="5"/>
    <s v="Columbus"/>
    <x v="26"/>
    <x v="7"/>
  </r>
  <r>
    <s v="B-26598"/>
    <n v="2636"/>
    <n v="2548"/>
    <n v="88"/>
    <n v="11"/>
    <x v="1"/>
    <x v="8"/>
    <x v="1"/>
    <d v="2024-03-27T00:00:00"/>
    <s v="Jessica Barajas"/>
    <x v="1"/>
    <s v="Peoria"/>
    <x v="55"/>
    <x v="6"/>
  </r>
  <r>
    <s v="B-26598"/>
    <n v="2636"/>
    <n v="2548"/>
    <n v="88"/>
    <n v="11"/>
    <x v="1"/>
    <x v="8"/>
    <x v="1"/>
    <d v="2024-09-01T00:00:00"/>
    <s v="Jamie Jimenez"/>
    <x v="2"/>
    <s v="Buffalo"/>
    <x v="31"/>
    <x v="10"/>
  </r>
  <r>
    <s v="B-26598"/>
    <n v="2636"/>
    <n v="2548"/>
    <n v="88"/>
    <n v="11"/>
    <x v="1"/>
    <x v="8"/>
    <x v="1"/>
    <d v="2022-02-22T00:00:00"/>
    <s v="James Carter"/>
    <x v="5"/>
    <s v="Columbus"/>
    <x v="26"/>
    <x v="7"/>
  </r>
  <r>
    <s v="B-26643"/>
    <n v="7344"/>
    <n v="5093"/>
    <n v="2251"/>
    <n v="7"/>
    <x v="0"/>
    <x v="0"/>
    <x v="1"/>
    <d v="2022-02-11T00:00:00"/>
    <s v="John Williams"/>
    <x v="0"/>
    <s v="Miami"/>
    <x v="26"/>
    <x v="7"/>
  </r>
  <r>
    <s v="B-26643"/>
    <n v="7306"/>
    <n v="5759"/>
    <n v="1547"/>
    <n v="3"/>
    <x v="1"/>
    <x v="8"/>
    <x v="4"/>
    <d v="2022-02-11T00:00:00"/>
    <s v="John Williams"/>
    <x v="0"/>
    <s v="Miami"/>
    <x v="26"/>
    <x v="7"/>
  </r>
  <r>
    <s v="B-26643"/>
    <n v="5832"/>
    <n v="3244"/>
    <n v="2588"/>
    <n v="10"/>
    <x v="0"/>
    <x v="1"/>
    <x v="4"/>
    <d v="2022-02-11T00:00:00"/>
    <s v="John Williams"/>
    <x v="0"/>
    <s v="Miami"/>
    <x v="26"/>
    <x v="7"/>
  </r>
  <r>
    <s v="B-25992"/>
    <n v="8572"/>
    <n v="6531"/>
    <n v="2041"/>
    <n v="8"/>
    <x v="2"/>
    <x v="4"/>
    <x v="2"/>
    <d v="2021-05-27T00:00:00"/>
    <s v="Alicia Oneill"/>
    <x v="1"/>
    <s v="Springfield"/>
    <x v="18"/>
    <x v="3"/>
  </r>
  <r>
    <s v="B-25992"/>
    <n v="8572"/>
    <n v="6531"/>
    <n v="2041"/>
    <n v="8"/>
    <x v="2"/>
    <x v="4"/>
    <x v="2"/>
    <d v="2023-07-05T00:00:00"/>
    <s v="Rebecca Huff"/>
    <x v="1"/>
    <s v="Springfield"/>
    <x v="17"/>
    <x v="2"/>
  </r>
  <r>
    <s v="B-25992"/>
    <n v="8572"/>
    <n v="6531"/>
    <n v="2041"/>
    <n v="8"/>
    <x v="2"/>
    <x v="4"/>
    <x v="2"/>
    <d v="2020-10-27T00:00:00"/>
    <s v="Diana Scott"/>
    <x v="3"/>
    <s v="San Diego"/>
    <x v="20"/>
    <x v="4"/>
  </r>
  <r>
    <s v="B-25992"/>
    <n v="8059"/>
    <n v="6225"/>
    <n v="1834"/>
    <n v="10"/>
    <x v="0"/>
    <x v="1"/>
    <x v="3"/>
    <d v="2021-05-27T00:00:00"/>
    <s v="Alicia Oneill"/>
    <x v="1"/>
    <s v="Springfield"/>
    <x v="18"/>
    <x v="3"/>
  </r>
  <r>
    <s v="B-25992"/>
    <n v="8059"/>
    <n v="6225"/>
    <n v="1834"/>
    <n v="10"/>
    <x v="0"/>
    <x v="1"/>
    <x v="3"/>
    <d v="2023-07-05T00:00:00"/>
    <s v="Rebecca Huff"/>
    <x v="1"/>
    <s v="Springfield"/>
    <x v="17"/>
    <x v="2"/>
  </r>
  <r>
    <s v="B-25992"/>
    <n v="8059"/>
    <n v="6225"/>
    <n v="1834"/>
    <n v="10"/>
    <x v="0"/>
    <x v="1"/>
    <x v="3"/>
    <d v="2020-10-27T00:00:00"/>
    <s v="Diana Scott"/>
    <x v="3"/>
    <s v="San Diego"/>
    <x v="20"/>
    <x v="4"/>
  </r>
  <r>
    <s v="B-25532"/>
    <n v="3661"/>
    <n v="3225"/>
    <n v="436"/>
    <n v="13"/>
    <x v="2"/>
    <x v="7"/>
    <x v="2"/>
    <d v="2023-01-26T00:00:00"/>
    <s v="Brian Young"/>
    <x v="4"/>
    <s v="Austin"/>
    <x v="54"/>
    <x v="8"/>
  </r>
  <r>
    <s v="B-25564"/>
    <n v="2451"/>
    <n v="2109"/>
    <n v="342"/>
    <n v="8"/>
    <x v="1"/>
    <x v="8"/>
    <x v="2"/>
    <d v="2021-09-06T00:00:00"/>
    <s v="Susan Wright"/>
    <x v="3"/>
    <s v="Los Angeles"/>
    <x v="43"/>
    <x v="10"/>
  </r>
  <r>
    <s v="B-25564"/>
    <n v="2451"/>
    <n v="2109"/>
    <n v="342"/>
    <n v="8"/>
    <x v="1"/>
    <x v="8"/>
    <x v="2"/>
    <d v="2021-11-12T00:00:00"/>
    <s v="Kayla Banks"/>
    <x v="5"/>
    <s v="Cincinnati"/>
    <x v="35"/>
    <x v="5"/>
  </r>
  <r>
    <s v="B-25564"/>
    <n v="2451"/>
    <n v="2109"/>
    <n v="342"/>
    <n v="8"/>
    <x v="1"/>
    <x v="8"/>
    <x v="2"/>
    <d v="2024-07-30T00:00:00"/>
    <s v="Zachary Pierce"/>
    <x v="4"/>
    <s v="Houston"/>
    <x v="41"/>
    <x v="2"/>
  </r>
  <r>
    <s v="B-26543"/>
    <n v="7067"/>
    <n v="5124"/>
    <n v="1943"/>
    <n v="16"/>
    <x v="2"/>
    <x v="4"/>
    <x v="3"/>
    <d v="2022-03-15T00:00:00"/>
    <s v="Nicolas Owen"/>
    <x v="3"/>
    <s v="San Francisco"/>
    <x v="25"/>
    <x v="6"/>
  </r>
  <r>
    <s v="B-25976"/>
    <n v="4307"/>
    <n v="3692"/>
    <n v="615"/>
    <n v="3"/>
    <x v="0"/>
    <x v="0"/>
    <x v="0"/>
    <d v="2024-03-15T00:00:00"/>
    <s v="Martha Carney"/>
    <x v="2"/>
    <s v="New York City"/>
    <x v="55"/>
    <x v="6"/>
  </r>
  <r>
    <s v="B-25976"/>
    <n v="4307"/>
    <n v="3692"/>
    <n v="615"/>
    <n v="3"/>
    <x v="0"/>
    <x v="0"/>
    <x v="0"/>
    <d v="2020-11-10T00:00:00"/>
    <s v="Francisco Hicks"/>
    <x v="1"/>
    <s v="Springfield"/>
    <x v="11"/>
    <x v="5"/>
  </r>
  <r>
    <s v="B-25976"/>
    <n v="5694"/>
    <n v="4560"/>
    <n v="1134"/>
    <n v="5"/>
    <x v="2"/>
    <x v="5"/>
    <x v="2"/>
    <d v="2024-03-15T00:00:00"/>
    <s v="Martha Carney"/>
    <x v="2"/>
    <s v="New York City"/>
    <x v="55"/>
    <x v="6"/>
  </r>
  <r>
    <s v="B-25976"/>
    <n v="5694"/>
    <n v="4560"/>
    <n v="1134"/>
    <n v="5"/>
    <x v="2"/>
    <x v="5"/>
    <x v="2"/>
    <d v="2020-11-10T00:00:00"/>
    <s v="Francisco Hicks"/>
    <x v="1"/>
    <s v="Springfield"/>
    <x v="11"/>
    <x v="5"/>
  </r>
  <r>
    <s v="B-25929"/>
    <n v="962"/>
    <n v="664"/>
    <n v="298"/>
    <n v="18"/>
    <x v="1"/>
    <x v="9"/>
    <x v="3"/>
    <d v="2022-07-23T00:00:00"/>
    <s v="Matthew Parker"/>
    <x v="1"/>
    <s v="Springfield"/>
    <x v="58"/>
    <x v="2"/>
  </r>
  <r>
    <s v="B-25497"/>
    <n v="2995"/>
    <n v="2775"/>
    <n v="220"/>
    <n v="14"/>
    <x v="2"/>
    <x v="11"/>
    <x v="3"/>
    <d v="2024-09-13T00:00:00"/>
    <s v="Paul Bryant"/>
    <x v="2"/>
    <s v="Buffalo"/>
    <x v="31"/>
    <x v="10"/>
  </r>
  <r>
    <s v="B-25497"/>
    <n v="2047"/>
    <n v="1133"/>
    <n v="914"/>
    <n v="5"/>
    <x v="1"/>
    <x v="6"/>
    <x v="1"/>
    <d v="2024-09-13T00:00:00"/>
    <s v="Paul Bryant"/>
    <x v="2"/>
    <s v="Buffalo"/>
    <x v="31"/>
    <x v="10"/>
  </r>
  <r>
    <s v="B-26735"/>
    <n v="2078"/>
    <n v="1466"/>
    <n v="612"/>
    <n v="6"/>
    <x v="0"/>
    <x v="3"/>
    <x v="4"/>
    <d v="2022-01-25T00:00:00"/>
    <s v="Bruce Dennis"/>
    <x v="4"/>
    <s v="Austin"/>
    <x v="12"/>
    <x v="8"/>
  </r>
  <r>
    <s v="B-25036"/>
    <n v="2737"/>
    <n v="1484"/>
    <n v="1253"/>
    <n v="3"/>
    <x v="0"/>
    <x v="1"/>
    <x v="2"/>
    <d v="2021-04-19T00:00:00"/>
    <s v="Joseph Bates"/>
    <x v="2"/>
    <s v="New York City"/>
    <x v="27"/>
    <x v="11"/>
  </r>
  <r>
    <s v="B-25971"/>
    <n v="8194"/>
    <n v="5313"/>
    <n v="2881"/>
    <n v="6"/>
    <x v="1"/>
    <x v="8"/>
    <x v="1"/>
    <d v="2021-07-18T00:00:00"/>
    <s v="Kelly Pacheco"/>
    <x v="4"/>
    <s v="Houston"/>
    <x v="2"/>
    <x v="2"/>
  </r>
  <r>
    <s v="B-25441"/>
    <n v="9914"/>
    <n v="6056"/>
    <n v="3858"/>
    <n v="16"/>
    <x v="2"/>
    <x v="7"/>
    <x v="3"/>
    <d v="2022-06-24T00:00:00"/>
    <s v="Jeffrey Weber"/>
    <x v="2"/>
    <s v="Buffalo"/>
    <x v="33"/>
    <x v="0"/>
  </r>
  <r>
    <s v="B-25441"/>
    <n v="9914"/>
    <n v="6056"/>
    <n v="3858"/>
    <n v="16"/>
    <x v="2"/>
    <x v="7"/>
    <x v="3"/>
    <d v="2024-06-08T00:00:00"/>
    <s v="Andrew Krueger"/>
    <x v="2"/>
    <s v="Rochester"/>
    <x v="47"/>
    <x v="0"/>
  </r>
  <r>
    <s v="B-25441"/>
    <n v="5470"/>
    <n v="5178"/>
    <n v="292"/>
    <n v="7"/>
    <x v="1"/>
    <x v="2"/>
    <x v="1"/>
    <d v="2022-06-24T00:00:00"/>
    <s v="Jeffrey Weber"/>
    <x v="2"/>
    <s v="Buffalo"/>
    <x v="33"/>
    <x v="0"/>
  </r>
  <r>
    <s v="B-25441"/>
    <n v="5470"/>
    <n v="5178"/>
    <n v="292"/>
    <n v="7"/>
    <x v="1"/>
    <x v="2"/>
    <x v="1"/>
    <d v="2024-06-08T00:00:00"/>
    <s v="Andrew Krueger"/>
    <x v="2"/>
    <s v="Rochester"/>
    <x v="47"/>
    <x v="0"/>
  </r>
  <r>
    <s v="B-25441"/>
    <n v="1496"/>
    <n v="834"/>
    <n v="662"/>
    <n v="17"/>
    <x v="2"/>
    <x v="11"/>
    <x v="0"/>
    <d v="2022-06-24T00:00:00"/>
    <s v="Jeffrey Weber"/>
    <x v="2"/>
    <s v="Buffalo"/>
    <x v="33"/>
    <x v="0"/>
  </r>
  <r>
    <s v="B-25441"/>
    <n v="1496"/>
    <n v="834"/>
    <n v="662"/>
    <n v="17"/>
    <x v="2"/>
    <x v="11"/>
    <x v="0"/>
    <d v="2024-06-08T00:00:00"/>
    <s v="Andrew Krueger"/>
    <x v="2"/>
    <s v="Rochester"/>
    <x v="47"/>
    <x v="0"/>
  </r>
  <r>
    <s v="B-25823"/>
    <n v="3228"/>
    <n v="2752"/>
    <n v="476"/>
    <n v="9"/>
    <x v="1"/>
    <x v="8"/>
    <x v="4"/>
    <d v="2022-09-29T00:00:00"/>
    <s v="Kathleen Cox"/>
    <x v="2"/>
    <s v="New York City"/>
    <x v="24"/>
    <x v="10"/>
  </r>
  <r>
    <s v="B-25363"/>
    <n v="3918"/>
    <n v="3169"/>
    <n v="749"/>
    <n v="8"/>
    <x v="0"/>
    <x v="3"/>
    <x v="3"/>
    <d v="2023-05-10T00:00:00"/>
    <s v="Jamie Bradley"/>
    <x v="3"/>
    <s v="San Diego"/>
    <x v="23"/>
    <x v="3"/>
  </r>
  <r>
    <s v="B-25363"/>
    <n v="3918"/>
    <n v="3169"/>
    <n v="749"/>
    <n v="8"/>
    <x v="0"/>
    <x v="3"/>
    <x v="3"/>
    <d v="2020-05-02T00:00:00"/>
    <s v="Robert Martinez"/>
    <x v="4"/>
    <s v="Houston"/>
    <x v="8"/>
    <x v="3"/>
  </r>
  <r>
    <s v="B-26445"/>
    <n v="9921"/>
    <n v="8470"/>
    <n v="1451"/>
    <n v="15"/>
    <x v="2"/>
    <x v="7"/>
    <x v="2"/>
    <d v="2021-04-12T00:00:00"/>
    <s v="Christopher Rogers"/>
    <x v="1"/>
    <s v="Chicago"/>
    <x v="27"/>
    <x v="11"/>
  </r>
  <r>
    <s v="B-26724"/>
    <n v="9694"/>
    <n v="5333"/>
    <n v="4361"/>
    <n v="1"/>
    <x v="2"/>
    <x v="5"/>
    <x v="2"/>
    <d v="2023-11-04T00:00:00"/>
    <s v="Roberto Parrish"/>
    <x v="1"/>
    <s v="Springfield"/>
    <x v="6"/>
    <x v="5"/>
  </r>
  <r>
    <s v="B-25447"/>
    <n v="5028"/>
    <n v="3475"/>
    <n v="1553"/>
    <n v="13"/>
    <x v="1"/>
    <x v="8"/>
    <x v="2"/>
    <d v="2020-05-04T00:00:00"/>
    <s v="Amber Kennedy"/>
    <x v="0"/>
    <s v="Tampa"/>
    <x v="8"/>
    <x v="3"/>
  </r>
  <r>
    <s v="B-26904"/>
    <n v="594"/>
    <n v="527"/>
    <n v="67"/>
    <n v="19"/>
    <x v="1"/>
    <x v="8"/>
    <x v="1"/>
    <d v="2023-09-10T00:00:00"/>
    <s v="Maria Davis"/>
    <x v="2"/>
    <s v="Buffalo"/>
    <x v="48"/>
    <x v="10"/>
  </r>
  <r>
    <s v="B-26904"/>
    <n v="594"/>
    <n v="527"/>
    <n v="67"/>
    <n v="19"/>
    <x v="1"/>
    <x v="8"/>
    <x v="1"/>
    <d v="2024-01-05T00:00:00"/>
    <s v="Terry Gilbert"/>
    <x v="0"/>
    <s v="Miami"/>
    <x v="10"/>
    <x v="8"/>
  </r>
  <r>
    <s v="B-26904"/>
    <n v="594"/>
    <n v="527"/>
    <n v="67"/>
    <n v="19"/>
    <x v="1"/>
    <x v="8"/>
    <x v="1"/>
    <d v="2024-05-08T00:00:00"/>
    <s v="Devon Schmitt"/>
    <x v="4"/>
    <s v="Austin"/>
    <x v="3"/>
    <x v="3"/>
  </r>
  <r>
    <s v="B-26456"/>
    <n v="5954"/>
    <n v="3336"/>
    <n v="2618"/>
    <n v="11"/>
    <x v="2"/>
    <x v="4"/>
    <x v="4"/>
    <d v="2024-03-30T00:00:00"/>
    <s v="Robert Mosley"/>
    <x v="5"/>
    <s v="Cincinnati"/>
    <x v="55"/>
    <x v="6"/>
  </r>
  <r>
    <s v="B-25435"/>
    <n v="3518"/>
    <n v="2467"/>
    <n v="1051"/>
    <n v="3"/>
    <x v="2"/>
    <x v="11"/>
    <x v="0"/>
    <d v="2020-09-10T00:00:00"/>
    <s v="Paul Scott"/>
    <x v="3"/>
    <s v="San Francisco"/>
    <x v="57"/>
    <x v="10"/>
  </r>
  <r>
    <s v="B-25435"/>
    <n v="4157"/>
    <n v="2283"/>
    <n v="1874"/>
    <n v="8"/>
    <x v="0"/>
    <x v="3"/>
    <x v="2"/>
    <d v="2020-09-10T00:00:00"/>
    <s v="Paul Scott"/>
    <x v="3"/>
    <s v="San Francisco"/>
    <x v="57"/>
    <x v="10"/>
  </r>
  <r>
    <s v="B-26279"/>
    <n v="3747"/>
    <n v="3337"/>
    <n v="410"/>
    <n v="5"/>
    <x v="1"/>
    <x v="6"/>
    <x v="3"/>
    <d v="2020-07-12T00:00:00"/>
    <s v="Kristin Alvarez"/>
    <x v="1"/>
    <s v="Springfield"/>
    <x v="60"/>
    <x v="2"/>
  </r>
  <r>
    <s v="B-26279"/>
    <n v="3747"/>
    <n v="3337"/>
    <n v="410"/>
    <n v="5"/>
    <x v="1"/>
    <x v="6"/>
    <x v="3"/>
    <d v="2022-12-08T00:00:00"/>
    <s v="Kevin Jackson"/>
    <x v="2"/>
    <s v="Buffalo"/>
    <x v="29"/>
    <x v="1"/>
  </r>
  <r>
    <s v="B-26279"/>
    <n v="3747"/>
    <n v="3337"/>
    <n v="410"/>
    <n v="5"/>
    <x v="1"/>
    <x v="6"/>
    <x v="3"/>
    <d v="2024-03-27T00:00:00"/>
    <s v="Mrs. Lauren Potter DDS"/>
    <x v="5"/>
    <s v="Columbus"/>
    <x v="55"/>
    <x v="6"/>
  </r>
  <r>
    <s v="B-26279"/>
    <n v="3747"/>
    <n v="3337"/>
    <n v="410"/>
    <n v="5"/>
    <x v="1"/>
    <x v="6"/>
    <x v="3"/>
    <d v="2023-02-17T00:00:00"/>
    <s v="Jason Brown"/>
    <x v="1"/>
    <s v="Chicago"/>
    <x v="14"/>
    <x v="7"/>
  </r>
  <r>
    <s v="B-26279"/>
    <n v="3747"/>
    <n v="3337"/>
    <n v="410"/>
    <n v="5"/>
    <x v="1"/>
    <x v="6"/>
    <x v="3"/>
    <d v="2021-07-21T00:00:00"/>
    <s v="Jamie Santos"/>
    <x v="3"/>
    <s v="Los Angeles"/>
    <x v="2"/>
    <x v="2"/>
  </r>
  <r>
    <s v="B-26279"/>
    <n v="3194"/>
    <n v="2660"/>
    <n v="534"/>
    <n v="4"/>
    <x v="1"/>
    <x v="9"/>
    <x v="0"/>
    <d v="2020-07-12T00:00:00"/>
    <s v="Kristin Alvarez"/>
    <x v="1"/>
    <s v="Springfield"/>
    <x v="60"/>
    <x v="2"/>
  </r>
  <r>
    <s v="B-26279"/>
    <n v="3194"/>
    <n v="2660"/>
    <n v="534"/>
    <n v="4"/>
    <x v="1"/>
    <x v="9"/>
    <x v="0"/>
    <d v="2022-12-08T00:00:00"/>
    <s v="Kevin Jackson"/>
    <x v="2"/>
    <s v="Buffalo"/>
    <x v="29"/>
    <x v="1"/>
  </r>
  <r>
    <s v="B-26279"/>
    <n v="3194"/>
    <n v="2660"/>
    <n v="534"/>
    <n v="4"/>
    <x v="1"/>
    <x v="9"/>
    <x v="0"/>
    <d v="2024-03-27T00:00:00"/>
    <s v="Mrs. Lauren Potter DDS"/>
    <x v="5"/>
    <s v="Columbus"/>
    <x v="55"/>
    <x v="6"/>
  </r>
  <r>
    <s v="B-26279"/>
    <n v="3194"/>
    <n v="2660"/>
    <n v="534"/>
    <n v="4"/>
    <x v="1"/>
    <x v="9"/>
    <x v="0"/>
    <d v="2023-02-17T00:00:00"/>
    <s v="Jason Brown"/>
    <x v="1"/>
    <s v="Chicago"/>
    <x v="14"/>
    <x v="7"/>
  </r>
  <r>
    <s v="B-26279"/>
    <n v="3194"/>
    <n v="2660"/>
    <n v="534"/>
    <n v="4"/>
    <x v="1"/>
    <x v="9"/>
    <x v="0"/>
    <d v="2021-07-21T00:00:00"/>
    <s v="Jamie Santos"/>
    <x v="3"/>
    <s v="Los Angeles"/>
    <x v="2"/>
    <x v="2"/>
  </r>
  <r>
    <s v="B-25770"/>
    <n v="8548"/>
    <n v="6243"/>
    <n v="2305"/>
    <n v="1"/>
    <x v="1"/>
    <x v="9"/>
    <x v="4"/>
    <d v="2022-10-30T00:00:00"/>
    <s v="James Taylor"/>
    <x v="0"/>
    <s v="Tampa"/>
    <x v="15"/>
    <x v="4"/>
  </r>
  <r>
    <s v="B-25715"/>
    <n v="6089"/>
    <n v="5950"/>
    <n v="139"/>
    <n v="19"/>
    <x v="2"/>
    <x v="4"/>
    <x v="1"/>
    <d v="2020-12-31T00:00:00"/>
    <s v="Alicia Vincent"/>
    <x v="5"/>
    <s v="Cincinnati"/>
    <x v="50"/>
    <x v="1"/>
  </r>
  <r>
    <s v="B-25715"/>
    <n v="6089"/>
    <n v="5950"/>
    <n v="139"/>
    <n v="19"/>
    <x v="2"/>
    <x v="4"/>
    <x v="1"/>
    <d v="2022-04-15T00:00:00"/>
    <s v="Kenneth Adams"/>
    <x v="5"/>
    <s v="Cleveland"/>
    <x v="39"/>
    <x v="11"/>
  </r>
  <r>
    <s v="B-25715"/>
    <n v="6089"/>
    <n v="5950"/>
    <n v="139"/>
    <n v="19"/>
    <x v="2"/>
    <x v="4"/>
    <x v="1"/>
    <d v="2023-04-05T00:00:00"/>
    <s v="Shelby Browning"/>
    <x v="1"/>
    <s v="Chicago"/>
    <x v="28"/>
    <x v="11"/>
  </r>
  <r>
    <s v="B-25715"/>
    <n v="2586"/>
    <n v="1786"/>
    <n v="800"/>
    <n v="16"/>
    <x v="2"/>
    <x v="4"/>
    <x v="0"/>
    <d v="2020-12-31T00:00:00"/>
    <s v="Alicia Vincent"/>
    <x v="5"/>
    <s v="Cincinnati"/>
    <x v="50"/>
    <x v="1"/>
  </r>
  <r>
    <s v="B-25715"/>
    <n v="2586"/>
    <n v="1786"/>
    <n v="800"/>
    <n v="16"/>
    <x v="2"/>
    <x v="4"/>
    <x v="0"/>
    <d v="2022-04-15T00:00:00"/>
    <s v="Kenneth Adams"/>
    <x v="5"/>
    <s v="Cleveland"/>
    <x v="39"/>
    <x v="11"/>
  </r>
  <r>
    <s v="B-25715"/>
    <n v="2586"/>
    <n v="1786"/>
    <n v="800"/>
    <n v="16"/>
    <x v="2"/>
    <x v="4"/>
    <x v="0"/>
    <d v="2023-04-05T00:00:00"/>
    <s v="Shelby Browning"/>
    <x v="1"/>
    <s v="Chicago"/>
    <x v="28"/>
    <x v="11"/>
  </r>
  <r>
    <s v="B-25715"/>
    <n v="3757"/>
    <n v="2131"/>
    <n v="1626"/>
    <n v="9"/>
    <x v="1"/>
    <x v="8"/>
    <x v="0"/>
    <d v="2020-12-31T00:00:00"/>
    <s v="Alicia Vincent"/>
    <x v="5"/>
    <s v="Cincinnati"/>
    <x v="50"/>
    <x v="1"/>
  </r>
  <r>
    <s v="B-25715"/>
    <n v="3757"/>
    <n v="2131"/>
    <n v="1626"/>
    <n v="9"/>
    <x v="1"/>
    <x v="8"/>
    <x v="0"/>
    <d v="2022-04-15T00:00:00"/>
    <s v="Kenneth Adams"/>
    <x v="5"/>
    <s v="Cleveland"/>
    <x v="39"/>
    <x v="11"/>
  </r>
  <r>
    <s v="B-25715"/>
    <n v="3757"/>
    <n v="2131"/>
    <n v="1626"/>
    <n v="9"/>
    <x v="1"/>
    <x v="8"/>
    <x v="0"/>
    <d v="2023-04-05T00:00:00"/>
    <s v="Shelby Browning"/>
    <x v="1"/>
    <s v="Chicago"/>
    <x v="28"/>
    <x v="11"/>
  </r>
  <r>
    <s v="B-26961"/>
    <n v="5193"/>
    <n v="2663"/>
    <n v="2530"/>
    <n v="5"/>
    <x v="2"/>
    <x v="7"/>
    <x v="1"/>
    <d v="2021-10-29T00:00:00"/>
    <s v="Johnny Hill"/>
    <x v="3"/>
    <s v="San Diego"/>
    <x v="4"/>
    <x v="4"/>
  </r>
  <r>
    <s v="B-26961"/>
    <n v="5193"/>
    <n v="2663"/>
    <n v="2530"/>
    <n v="5"/>
    <x v="2"/>
    <x v="7"/>
    <x v="1"/>
    <d v="2024-12-29T00:00:00"/>
    <s v="Nicholas Tucker"/>
    <x v="0"/>
    <s v="Miami"/>
    <x v="1"/>
    <x v="1"/>
  </r>
  <r>
    <s v="B-25902"/>
    <n v="7493"/>
    <n v="7397"/>
    <n v="96"/>
    <n v="3"/>
    <x v="0"/>
    <x v="0"/>
    <x v="0"/>
    <d v="2020-08-11T00:00:00"/>
    <s v="Theresa Cline"/>
    <x v="5"/>
    <s v="Cleveland"/>
    <x v="38"/>
    <x v="9"/>
  </r>
  <r>
    <s v="B-26321"/>
    <n v="2062"/>
    <n v="1214"/>
    <n v="848"/>
    <n v="6"/>
    <x v="1"/>
    <x v="6"/>
    <x v="3"/>
    <d v="2024-03-04T00:00:00"/>
    <s v="Christine Wheeler"/>
    <x v="0"/>
    <s v="Tampa"/>
    <x v="55"/>
    <x v="6"/>
  </r>
  <r>
    <s v="B-25612"/>
    <n v="7163"/>
    <n v="5627"/>
    <n v="1536"/>
    <n v="1"/>
    <x v="0"/>
    <x v="10"/>
    <x v="2"/>
    <d v="2023-10-17T00:00:00"/>
    <s v="Carlos Wells"/>
    <x v="3"/>
    <s v="San Diego"/>
    <x v="59"/>
    <x v="4"/>
  </r>
  <r>
    <s v="B-25605"/>
    <n v="4026"/>
    <n v="3863"/>
    <n v="163"/>
    <n v="6"/>
    <x v="0"/>
    <x v="10"/>
    <x v="4"/>
    <d v="2023-07-28T00:00:00"/>
    <s v="Randall Bell"/>
    <x v="2"/>
    <s v="New York City"/>
    <x v="17"/>
    <x v="2"/>
  </r>
  <r>
    <s v="B-25810"/>
    <n v="1894"/>
    <n v="1619"/>
    <n v="275"/>
    <n v="5"/>
    <x v="2"/>
    <x v="5"/>
    <x v="3"/>
    <d v="2021-11-27T00:00:00"/>
    <s v="Kendra Mckinney"/>
    <x v="0"/>
    <s v="Miami"/>
    <x v="35"/>
    <x v="5"/>
  </r>
  <r>
    <s v="B-25810"/>
    <n v="7144"/>
    <n v="6952"/>
    <n v="192"/>
    <n v="13"/>
    <x v="0"/>
    <x v="0"/>
    <x v="3"/>
    <d v="2021-11-27T00:00:00"/>
    <s v="Kendra Mckinney"/>
    <x v="0"/>
    <s v="Miami"/>
    <x v="35"/>
    <x v="5"/>
  </r>
  <r>
    <s v="B-25935"/>
    <n v="3482"/>
    <n v="1928"/>
    <n v="1554"/>
    <n v="15"/>
    <x v="0"/>
    <x v="3"/>
    <x v="1"/>
    <d v="2020-09-09T00:00:00"/>
    <s v="Amanda Kim"/>
    <x v="5"/>
    <s v="Columbus"/>
    <x v="57"/>
    <x v="10"/>
  </r>
  <r>
    <s v="B-26245"/>
    <n v="4172"/>
    <n v="3937"/>
    <n v="235"/>
    <n v="5"/>
    <x v="1"/>
    <x v="8"/>
    <x v="2"/>
    <d v="2021-06-02T00:00:00"/>
    <s v="Megan Morgan"/>
    <x v="5"/>
    <s v="Cleveland"/>
    <x v="22"/>
    <x v="0"/>
  </r>
  <r>
    <s v="B-26245"/>
    <n v="4172"/>
    <n v="3937"/>
    <n v="235"/>
    <n v="5"/>
    <x v="1"/>
    <x v="8"/>
    <x v="2"/>
    <d v="2022-08-22T00:00:00"/>
    <s v="Vincent Kramer"/>
    <x v="0"/>
    <s v="Orlando"/>
    <x v="40"/>
    <x v="9"/>
  </r>
  <r>
    <s v="B-26245"/>
    <n v="4172"/>
    <n v="3937"/>
    <n v="235"/>
    <n v="5"/>
    <x v="1"/>
    <x v="8"/>
    <x v="2"/>
    <d v="2024-04-16T00:00:00"/>
    <s v="Raymond Bean"/>
    <x v="1"/>
    <s v="Springfield"/>
    <x v="44"/>
    <x v="11"/>
  </r>
  <r>
    <s v="B-25346"/>
    <n v="6265"/>
    <n v="6110"/>
    <n v="155"/>
    <n v="8"/>
    <x v="2"/>
    <x v="7"/>
    <x v="4"/>
    <d v="2022-08-23T00:00:00"/>
    <s v="Reginald Hebert"/>
    <x v="5"/>
    <s v="Cincinnati"/>
    <x v="40"/>
    <x v="9"/>
  </r>
  <r>
    <s v="B-25346"/>
    <n v="6265"/>
    <n v="6110"/>
    <n v="155"/>
    <n v="8"/>
    <x v="2"/>
    <x v="7"/>
    <x v="4"/>
    <d v="2021-03-12T00:00:00"/>
    <s v="Jeremy Vazquez"/>
    <x v="5"/>
    <s v="Cleveland"/>
    <x v="34"/>
    <x v="6"/>
  </r>
  <r>
    <s v="B-25594"/>
    <n v="2931"/>
    <n v="2719"/>
    <n v="212"/>
    <n v="7"/>
    <x v="0"/>
    <x v="0"/>
    <x v="3"/>
    <d v="2024-06-26T00:00:00"/>
    <s v="Michael Stewart"/>
    <x v="1"/>
    <s v="Peoria"/>
    <x v="47"/>
    <x v="0"/>
  </r>
  <r>
    <s v="B-25594"/>
    <n v="2931"/>
    <n v="2719"/>
    <n v="212"/>
    <n v="7"/>
    <x v="0"/>
    <x v="0"/>
    <x v="3"/>
    <d v="2023-12-08T00:00:00"/>
    <s v="Kevin Johnson"/>
    <x v="0"/>
    <s v="Tampa"/>
    <x v="16"/>
    <x v="1"/>
  </r>
  <r>
    <s v="B-25471"/>
    <n v="1146"/>
    <n v="958"/>
    <n v="188"/>
    <n v="9"/>
    <x v="2"/>
    <x v="5"/>
    <x v="1"/>
    <d v="2024-11-27T00:00:00"/>
    <s v="Tara Hughes"/>
    <x v="0"/>
    <s v="Tampa"/>
    <x v="46"/>
    <x v="5"/>
  </r>
  <r>
    <s v="B-25398"/>
    <n v="9215"/>
    <n v="8448"/>
    <n v="767"/>
    <n v="13"/>
    <x v="0"/>
    <x v="1"/>
    <x v="4"/>
    <d v="2022-01-10T00:00:00"/>
    <s v="Sandra Perkins"/>
    <x v="0"/>
    <s v="Tampa"/>
    <x v="12"/>
    <x v="8"/>
  </r>
  <r>
    <s v="B-25398"/>
    <n v="9215"/>
    <n v="8448"/>
    <n v="767"/>
    <n v="13"/>
    <x v="0"/>
    <x v="1"/>
    <x v="4"/>
    <d v="2021-11-01T00:00:00"/>
    <s v="Heather Bell"/>
    <x v="3"/>
    <s v="San Francisco"/>
    <x v="35"/>
    <x v="5"/>
  </r>
  <r>
    <s v="B-25999"/>
    <n v="7895"/>
    <n v="6890"/>
    <n v="1005"/>
    <n v="1"/>
    <x v="2"/>
    <x v="5"/>
    <x v="3"/>
    <d v="2023-10-28T00:00:00"/>
    <s v="Nancy Boyd"/>
    <x v="5"/>
    <s v="Cincinnati"/>
    <x v="59"/>
    <x v="4"/>
  </r>
  <r>
    <s v="B-25999"/>
    <n v="7895"/>
    <n v="6890"/>
    <n v="1005"/>
    <n v="1"/>
    <x v="2"/>
    <x v="5"/>
    <x v="3"/>
    <d v="2025-03-01T00:00:00"/>
    <s v="Raymond Reyes"/>
    <x v="3"/>
    <s v="San Diego"/>
    <x v="30"/>
    <x v="6"/>
  </r>
  <r>
    <s v="B-25999"/>
    <n v="2740"/>
    <n v="2182"/>
    <n v="558"/>
    <n v="8"/>
    <x v="1"/>
    <x v="2"/>
    <x v="0"/>
    <d v="2023-10-28T00:00:00"/>
    <s v="Nancy Boyd"/>
    <x v="5"/>
    <s v="Cincinnati"/>
    <x v="59"/>
    <x v="4"/>
  </r>
  <r>
    <s v="B-25999"/>
    <n v="2740"/>
    <n v="2182"/>
    <n v="558"/>
    <n v="8"/>
    <x v="1"/>
    <x v="2"/>
    <x v="0"/>
    <d v="2025-03-01T00:00:00"/>
    <s v="Raymond Reyes"/>
    <x v="3"/>
    <s v="San Diego"/>
    <x v="30"/>
    <x v="6"/>
  </r>
  <r>
    <s v="B-25159"/>
    <n v="5338"/>
    <n v="3984"/>
    <n v="1354"/>
    <n v="16"/>
    <x v="1"/>
    <x v="6"/>
    <x v="0"/>
    <d v="2024-08-01T00:00:00"/>
    <s v="Cassandra Jordan"/>
    <x v="1"/>
    <s v="Peoria"/>
    <x v="19"/>
    <x v="9"/>
  </r>
  <r>
    <s v="B-25159"/>
    <n v="5338"/>
    <n v="3984"/>
    <n v="1354"/>
    <n v="16"/>
    <x v="1"/>
    <x v="6"/>
    <x v="0"/>
    <d v="2023-06-07T00:00:00"/>
    <s v="Evelyn Harris"/>
    <x v="2"/>
    <s v="Buffalo"/>
    <x v="0"/>
    <x v="0"/>
  </r>
  <r>
    <s v="B-25159"/>
    <n v="5338"/>
    <n v="3984"/>
    <n v="1354"/>
    <n v="16"/>
    <x v="1"/>
    <x v="6"/>
    <x v="0"/>
    <d v="2024-10-21T00:00:00"/>
    <s v="Shannon Maynard"/>
    <x v="0"/>
    <s v="Orlando"/>
    <x v="56"/>
    <x v="4"/>
  </r>
  <r>
    <s v="B-25159"/>
    <n v="5338"/>
    <n v="3984"/>
    <n v="1354"/>
    <n v="16"/>
    <x v="1"/>
    <x v="6"/>
    <x v="0"/>
    <d v="2021-01-04T00:00:00"/>
    <s v="Marie James"/>
    <x v="2"/>
    <s v="Buffalo"/>
    <x v="49"/>
    <x v="8"/>
  </r>
  <r>
    <s v="B-25496"/>
    <n v="3095"/>
    <n v="2154"/>
    <n v="941"/>
    <n v="2"/>
    <x v="1"/>
    <x v="2"/>
    <x v="2"/>
    <d v="2022-04-19T00:00:00"/>
    <s v="Maria Carroll"/>
    <x v="5"/>
    <s v="Cleveland"/>
    <x v="39"/>
    <x v="11"/>
  </r>
  <r>
    <s v="B-25496"/>
    <n v="3095"/>
    <n v="2154"/>
    <n v="941"/>
    <n v="2"/>
    <x v="1"/>
    <x v="2"/>
    <x v="2"/>
    <d v="2022-08-11T00:00:00"/>
    <s v="Jessica Sloan"/>
    <x v="4"/>
    <s v="Austin"/>
    <x v="40"/>
    <x v="9"/>
  </r>
  <r>
    <s v="B-25401"/>
    <n v="6017"/>
    <n v="3787"/>
    <n v="2230"/>
    <n v="13"/>
    <x v="0"/>
    <x v="1"/>
    <x v="1"/>
    <d v="2023-08-04T00:00:00"/>
    <s v="Scott Craig"/>
    <x v="1"/>
    <s v="Peoria"/>
    <x v="21"/>
    <x v="9"/>
  </r>
  <r>
    <s v="B-25707"/>
    <n v="4904"/>
    <n v="4435"/>
    <n v="469"/>
    <n v="2"/>
    <x v="1"/>
    <x v="2"/>
    <x v="1"/>
    <d v="2020-04-25T00:00:00"/>
    <s v="Kaitlin Brown"/>
    <x v="4"/>
    <s v="Dallas"/>
    <x v="32"/>
    <x v="11"/>
  </r>
  <r>
    <s v="B-25707"/>
    <n v="3080"/>
    <n v="2343"/>
    <n v="737"/>
    <n v="6"/>
    <x v="1"/>
    <x v="9"/>
    <x v="0"/>
    <d v="2020-04-25T00:00:00"/>
    <s v="Kaitlin Brown"/>
    <x v="4"/>
    <s v="Dallas"/>
    <x v="32"/>
    <x v="11"/>
  </r>
  <r>
    <s v="B-26225"/>
    <n v="1992"/>
    <n v="1637"/>
    <n v="355"/>
    <n v="2"/>
    <x v="0"/>
    <x v="10"/>
    <x v="4"/>
    <d v="2024-12-14T00:00:00"/>
    <s v="William Beck"/>
    <x v="0"/>
    <s v="Tampa"/>
    <x v="1"/>
    <x v="1"/>
  </r>
  <r>
    <s v="B-25662"/>
    <n v="5346"/>
    <n v="4100"/>
    <n v="1246"/>
    <n v="17"/>
    <x v="2"/>
    <x v="7"/>
    <x v="2"/>
    <d v="2022-07-25T00:00:00"/>
    <s v="Eric Mason"/>
    <x v="0"/>
    <s v="Orlando"/>
    <x v="58"/>
    <x v="2"/>
  </r>
  <r>
    <s v="B-25662"/>
    <n v="5346"/>
    <n v="4100"/>
    <n v="1246"/>
    <n v="17"/>
    <x v="2"/>
    <x v="7"/>
    <x v="2"/>
    <d v="2022-05-07T00:00:00"/>
    <s v="Lisa Lowe"/>
    <x v="0"/>
    <s v="Miami"/>
    <x v="37"/>
    <x v="3"/>
  </r>
  <r>
    <s v="B-26752"/>
    <n v="8422"/>
    <n v="7529"/>
    <n v="893"/>
    <n v="18"/>
    <x v="0"/>
    <x v="1"/>
    <x v="1"/>
    <d v="2022-08-11T00:00:00"/>
    <s v="Roy Miller"/>
    <x v="3"/>
    <s v="San Francisco"/>
    <x v="40"/>
    <x v="9"/>
  </r>
  <r>
    <s v="B-26752"/>
    <n v="8422"/>
    <n v="7529"/>
    <n v="893"/>
    <n v="18"/>
    <x v="0"/>
    <x v="1"/>
    <x v="1"/>
    <d v="2022-08-12T00:00:00"/>
    <s v="Christopher Espinoza"/>
    <x v="5"/>
    <s v="Columbus"/>
    <x v="40"/>
    <x v="9"/>
  </r>
  <r>
    <s v="B-26752"/>
    <n v="6105"/>
    <n v="4658"/>
    <n v="1447"/>
    <n v="8"/>
    <x v="2"/>
    <x v="11"/>
    <x v="3"/>
    <d v="2022-08-11T00:00:00"/>
    <s v="Roy Miller"/>
    <x v="3"/>
    <s v="San Francisco"/>
    <x v="40"/>
    <x v="9"/>
  </r>
  <r>
    <s v="B-26752"/>
    <n v="6105"/>
    <n v="4658"/>
    <n v="1447"/>
    <n v="8"/>
    <x v="2"/>
    <x v="11"/>
    <x v="3"/>
    <d v="2022-08-12T00:00:00"/>
    <s v="Christopher Espinoza"/>
    <x v="5"/>
    <s v="Columbus"/>
    <x v="40"/>
    <x v="9"/>
  </r>
  <r>
    <s v="B-25640"/>
    <n v="670"/>
    <n v="585"/>
    <n v="85"/>
    <n v="9"/>
    <x v="1"/>
    <x v="2"/>
    <x v="2"/>
    <d v="2023-08-21T00:00:00"/>
    <s v="Claire Cole"/>
    <x v="4"/>
    <s v="Houston"/>
    <x v="21"/>
    <x v="9"/>
  </r>
  <r>
    <s v="B-25030"/>
    <n v="4057"/>
    <n v="3045"/>
    <n v="1012"/>
    <n v="6"/>
    <x v="0"/>
    <x v="3"/>
    <x v="3"/>
    <d v="2022-09-12T00:00:00"/>
    <s v="Eric Nunez"/>
    <x v="3"/>
    <s v="San Diego"/>
    <x v="24"/>
    <x v="10"/>
  </r>
  <r>
    <s v="B-25504"/>
    <n v="8178"/>
    <n v="5716"/>
    <n v="2462"/>
    <n v="10"/>
    <x v="1"/>
    <x v="2"/>
    <x v="0"/>
    <d v="2023-08-20T00:00:00"/>
    <s v="David Bell"/>
    <x v="3"/>
    <s v="Los Angeles"/>
    <x v="21"/>
    <x v="9"/>
  </r>
  <r>
    <s v="B-26912"/>
    <n v="8752"/>
    <n v="7066"/>
    <n v="1686"/>
    <n v="9"/>
    <x v="2"/>
    <x v="4"/>
    <x v="1"/>
    <d v="2020-12-27T00:00:00"/>
    <s v="Patrick Hensley MD"/>
    <x v="5"/>
    <s v="Cincinnati"/>
    <x v="50"/>
    <x v="1"/>
  </r>
  <r>
    <s v="B-26912"/>
    <n v="8752"/>
    <n v="7066"/>
    <n v="1686"/>
    <n v="9"/>
    <x v="2"/>
    <x v="4"/>
    <x v="1"/>
    <d v="2023-09-04T00:00:00"/>
    <s v="John Cox"/>
    <x v="1"/>
    <s v="Peoria"/>
    <x v="48"/>
    <x v="10"/>
  </r>
  <r>
    <s v="B-26912"/>
    <n v="8752"/>
    <n v="7066"/>
    <n v="1686"/>
    <n v="9"/>
    <x v="2"/>
    <x v="4"/>
    <x v="1"/>
    <d v="2022-01-08T00:00:00"/>
    <s v="Michelle Sullivan"/>
    <x v="1"/>
    <s v="Chicago"/>
    <x v="12"/>
    <x v="8"/>
  </r>
  <r>
    <s v="B-25193"/>
    <n v="8974"/>
    <n v="4533"/>
    <n v="4441"/>
    <n v="16"/>
    <x v="0"/>
    <x v="1"/>
    <x v="2"/>
    <d v="2023-06-05T00:00:00"/>
    <s v="Angela Todd"/>
    <x v="2"/>
    <s v="New York City"/>
    <x v="0"/>
    <x v="0"/>
  </r>
  <r>
    <s v="B-25106"/>
    <n v="9090"/>
    <n v="5992"/>
    <n v="3098"/>
    <n v="16"/>
    <x v="0"/>
    <x v="10"/>
    <x v="3"/>
    <d v="2021-04-01T00:00:00"/>
    <s v="Luke Saunders"/>
    <x v="4"/>
    <s v="Dallas"/>
    <x v="27"/>
    <x v="11"/>
  </r>
  <r>
    <s v="B-25106"/>
    <n v="9090"/>
    <n v="5992"/>
    <n v="3098"/>
    <n v="16"/>
    <x v="0"/>
    <x v="10"/>
    <x v="3"/>
    <d v="2024-05-28T00:00:00"/>
    <s v="Dr. Jennifer Benton DVM"/>
    <x v="1"/>
    <s v="Springfield"/>
    <x v="3"/>
    <x v="3"/>
  </r>
  <r>
    <s v="B-25106"/>
    <n v="851"/>
    <n v="495"/>
    <n v="356"/>
    <n v="11"/>
    <x v="0"/>
    <x v="0"/>
    <x v="3"/>
    <d v="2021-04-01T00:00:00"/>
    <s v="Luke Saunders"/>
    <x v="4"/>
    <s v="Dallas"/>
    <x v="27"/>
    <x v="11"/>
  </r>
  <r>
    <s v="B-25106"/>
    <n v="851"/>
    <n v="495"/>
    <n v="356"/>
    <n v="11"/>
    <x v="0"/>
    <x v="0"/>
    <x v="3"/>
    <d v="2024-05-28T00:00:00"/>
    <s v="Dr. Jennifer Benton DVM"/>
    <x v="1"/>
    <s v="Springfield"/>
    <x v="3"/>
    <x v="3"/>
  </r>
  <r>
    <s v="B-26835"/>
    <n v="5427"/>
    <n v="4699"/>
    <n v="728"/>
    <n v="3"/>
    <x v="0"/>
    <x v="10"/>
    <x v="0"/>
    <d v="2023-03-09T00:00:00"/>
    <s v="Keith Smith"/>
    <x v="0"/>
    <s v="Miami"/>
    <x v="45"/>
    <x v="6"/>
  </r>
  <r>
    <s v="B-25836"/>
    <n v="2695"/>
    <n v="1781"/>
    <n v="914"/>
    <n v="15"/>
    <x v="2"/>
    <x v="11"/>
    <x v="1"/>
    <d v="2022-07-28T00:00:00"/>
    <s v="Danielle Mitchell"/>
    <x v="1"/>
    <s v="Peoria"/>
    <x v="58"/>
    <x v="2"/>
  </r>
  <r>
    <s v="B-25836"/>
    <n v="2695"/>
    <n v="1781"/>
    <n v="914"/>
    <n v="15"/>
    <x v="2"/>
    <x v="11"/>
    <x v="1"/>
    <d v="2021-06-17T00:00:00"/>
    <s v="Jesus Hernandez"/>
    <x v="3"/>
    <s v="Los Angeles"/>
    <x v="22"/>
    <x v="0"/>
  </r>
  <r>
    <s v="B-26661"/>
    <n v="2386"/>
    <n v="1387"/>
    <n v="999"/>
    <n v="3"/>
    <x v="1"/>
    <x v="2"/>
    <x v="4"/>
    <d v="2024-02-13T00:00:00"/>
    <s v="Jason Norman"/>
    <x v="0"/>
    <s v="Miami"/>
    <x v="42"/>
    <x v="7"/>
  </r>
  <r>
    <s v="B-26317"/>
    <n v="2284"/>
    <n v="2135"/>
    <n v="149"/>
    <n v="20"/>
    <x v="1"/>
    <x v="2"/>
    <x v="1"/>
    <d v="2021-08-06T00:00:00"/>
    <s v="Laura Poole"/>
    <x v="2"/>
    <s v="Rochester"/>
    <x v="36"/>
    <x v="9"/>
  </r>
  <r>
    <s v="B-26839"/>
    <n v="6034"/>
    <n v="5426"/>
    <n v="608"/>
    <n v="8"/>
    <x v="0"/>
    <x v="10"/>
    <x v="2"/>
    <d v="2022-05-01T00:00:00"/>
    <s v="Sarah Wagner"/>
    <x v="4"/>
    <s v="Houston"/>
    <x v="37"/>
    <x v="3"/>
  </r>
  <r>
    <s v="B-26839"/>
    <n v="8956"/>
    <n v="5597"/>
    <n v="3359"/>
    <n v="13"/>
    <x v="2"/>
    <x v="11"/>
    <x v="3"/>
    <d v="2022-05-01T00:00:00"/>
    <s v="Sarah Wagner"/>
    <x v="4"/>
    <s v="Houston"/>
    <x v="37"/>
    <x v="3"/>
  </r>
  <r>
    <s v="B-25735"/>
    <n v="7122"/>
    <n v="5140"/>
    <n v="1982"/>
    <n v="7"/>
    <x v="1"/>
    <x v="6"/>
    <x v="2"/>
    <d v="2024-03-11T00:00:00"/>
    <s v="Bryan Baird"/>
    <x v="1"/>
    <s v="Peoria"/>
    <x v="55"/>
    <x v="6"/>
  </r>
  <r>
    <s v="B-25387"/>
    <n v="9775"/>
    <n v="5268"/>
    <n v="4507"/>
    <n v="5"/>
    <x v="1"/>
    <x v="6"/>
    <x v="0"/>
    <d v="2020-07-06T00:00:00"/>
    <s v="Amy Thompson"/>
    <x v="5"/>
    <s v="Cincinnati"/>
    <x v="60"/>
    <x v="2"/>
  </r>
  <r>
    <s v="B-25192"/>
    <n v="3309"/>
    <n v="3132"/>
    <n v="177"/>
    <n v="13"/>
    <x v="2"/>
    <x v="11"/>
    <x v="2"/>
    <d v="2020-12-17T00:00:00"/>
    <s v="Ashley Wright"/>
    <x v="5"/>
    <s v="Cleveland"/>
    <x v="50"/>
    <x v="1"/>
  </r>
  <r>
    <s v="B-26844"/>
    <n v="4163"/>
    <n v="3266"/>
    <n v="897"/>
    <n v="14"/>
    <x v="0"/>
    <x v="0"/>
    <x v="4"/>
    <d v="2022-08-30T00:00:00"/>
    <s v="Michelle Lynch"/>
    <x v="1"/>
    <s v="Springfield"/>
    <x v="40"/>
    <x v="9"/>
  </r>
  <r>
    <s v="B-26844"/>
    <n v="4163"/>
    <n v="3266"/>
    <n v="897"/>
    <n v="14"/>
    <x v="0"/>
    <x v="0"/>
    <x v="4"/>
    <d v="2025-02-27T00:00:00"/>
    <s v="Ryan Hale"/>
    <x v="5"/>
    <s v="Cleveland"/>
    <x v="9"/>
    <x v="7"/>
  </r>
  <r>
    <s v="B-26844"/>
    <n v="4163"/>
    <n v="3266"/>
    <n v="897"/>
    <n v="14"/>
    <x v="0"/>
    <x v="0"/>
    <x v="4"/>
    <d v="2021-06-05T00:00:00"/>
    <s v="Marie Jefferson"/>
    <x v="0"/>
    <s v="Orlando"/>
    <x v="22"/>
    <x v="0"/>
  </r>
  <r>
    <s v="B-25236"/>
    <n v="5518"/>
    <n v="4651"/>
    <n v="867"/>
    <n v="7"/>
    <x v="2"/>
    <x v="7"/>
    <x v="0"/>
    <d v="2022-12-22T00:00:00"/>
    <s v="Vanessa Smith"/>
    <x v="4"/>
    <s v="Houston"/>
    <x v="29"/>
    <x v="1"/>
  </r>
  <r>
    <s v="B-25940"/>
    <n v="7566"/>
    <n v="6960"/>
    <n v="606"/>
    <n v="6"/>
    <x v="0"/>
    <x v="10"/>
    <x v="1"/>
    <d v="2025-01-25T00:00:00"/>
    <s v="Ryan Foster"/>
    <x v="5"/>
    <s v="Columbus"/>
    <x v="52"/>
    <x v="8"/>
  </r>
  <r>
    <s v="B-25940"/>
    <n v="7566"/>
    <n v="6960"/>
    <n v="606"/>
    <n v="6"/>
    <x v="0"/>
    <x v="10"/>
    <x v="1"/>
    <d v="2025-02-14T00:00:00"/>
    <s v="David Lara"/>
    <x v="3"/>
    <s v="San Diego"/>
    <x v="9"/>
    <x v="7"/>
  </r>
  <r>
    <s v="B-26765"/>
    <n v="762"/>
    <n v="670"/>
    <n v="92"/>
    <n v="11"/>
    <x v="0"/>
    <x v="1"/>
    <x v="4"/>
    <d v="2023-01-06T00:00:00"/>
    <s v="Jonathan Young"/>
    <x v="1"/>
    <s v="Springfield"/>
    <x v="54"/>
    <x v="8"/>
  </r>
  <r>
    <s v="B-26817"/>
    <n v="3316"/>
    <n v="3190"/>
    <n v="126"/>
    <n v="6"/>
    <x v="0"/>
    <x v="3"/>
    <x v="4"/>
    <d v="2020-10-11T00:00:00"/>
    <s v="Debra Townsend"/>
    <x v="5"/>
    <s v="Cincinnati"/>
    <x v="20"/>
    <x v="4"/>
  </r>
  <r>
    <s v="B-26522"/>
    <n v="5994"/>
    <n v="3168"/>
    <n v="2826"/>
    <n v="9"/>
    <x v="2"/>
    <x v="11"/>
    <x v="2"/>
    <d v="2023-05-24T00:00:00"/>
    <s v="John Thomas"/>
    <x v="3"/>
    <s v="San Francisco"/>
    <x v="23"/>
    <x v="3"/>
  </r>
  <r>
    <s v="B-26522"/>
    <n v="5994"/>
    <n v="3168"/>
    <n v="2826"/>
    <n v="9"/>
    <x v="2"/>
    <x v="11"/>
    <x v="2"/>
    <d v="2024-03-12T00:00:00"/>
    <s v="Bryan Anderson"/>
    <x v="3"/>
    <s v="Los Angeles"/>
    <x v="55"/>
    <x v="6"/>
  </r>
  <r>
    <s v="B-26522"/>
    <n v="5994"/>
    <n v="3168"/>
    <n v="2826"/>
    <n v="9"/>
    <x v="2"/>
    <x v="11"/>
    <x v="2"/>
    <d v="2024-03-17T00:00:00"/>
    <s v="Sarah Miller"/>
    <x v="2"/>
    <s v="New York City"/>
    <x v="55"/>
    <x v="6"/>
  </r>
  <r>
    <s v="B-25681"/>
    <n v="3854"/>
    <n v="3609"/>
    <n v="245"/>
    <n v="19"/>
    <x v="0"/>
    <x v="3"/>
    <x v="4"/>
    <d v="2022-05-17T00:00:00"/>
    <s v="Robert Hill"/>
    <x v="5"/>
    <s v="Columbus"/>
    <x v="37"/>
    <x v="3"/>
  </r>
  <r>
    <s v="B-25382"/>
    <n v="7019"/>
    <n v="4342"/>
    <n v="2677"/>
    <n v="15"/>
    <x v="1"/>
    <x v="6"/>
    <x v="0"/>
    <d v="2020-12-21T00:00:00"/>
    <s v="Joshua Rojas"/>
    <x v="0"/>
    <s v="Miami"/>
    <x v="50"/>
    <x v="1"/>
  </r>
  <r>
    <s v="B-25944"/>
    <n v="5954"/>
    <n v="3314"/>
    <n v="2640"/>
    <n v="14"/>
    <x v="0"/>
    <x v="3"/>
    <x v="3"/>
    <d v="2021-08-24T00:00:00"/>
    <s v="Angelica Lewis"/>
    <x v="2"/>
    <s v="New York City"/>
    <x v="36"/>
    <x v="9"/>
  </r>
  <r>
    <s v="B-25944"/>
    <n v="5954"/>
    <n v="3314"/>
    <n v="2640"/>
    <n v="14"/>
    <x v="0"/>
    <x v="3"/>
    <x v="3"/>
    <d v="2022-10-22T00:00:00"/>
    <s v="Jessica Russell"/>
    <x v="4"/>
    <s v="Dallas"/>
    <x v="15"/>
    <x v="4"/>
  </r>
  <r>
    <s v="B-26980"/>
    <n v="9752"/>
    <n v="6134"/>
    <n v="3618"/>
    <n v="5"/>
    <x v="2"/>
    <x v="11"/>
    <x v="1"/>
    <d v="2024-02-21T00:00:00"/>
    <s v="Mary Johnson"/>
    <x v="2"/>
    <s v="Rochester"/>
    <x v="42"/>
    <x v="7"/>
  </r>
  <r>
    <s v="B-26980"/>
    <n v="9752"/>
    <n v="6134"/>
    <n v="3618"/>
    <n v="5"/>
    <x v="2"/>
    <x v="11"/>
    <x v="1"/>
    <d v="2022-10-31T00:00:00"/>
    <s v="Joseph Knight"/>
    <x v="1"/>
    <s v="Peoria"/>
    <x v="15"/>
    <x v="4"/>
  </r>
  <r>
    <s v="B-25780"/>
    <n v="5335"/>
    <n v="5013"/>
    <n v="322"/>
    <n v="15"/>
    <x v="0"/>
    <x v="0"/>
    <x v="4"/>
    <d v="2022-05-15T00:00:00"/>
    <s v="Jessica Greene"/>
    <x v="2"/>
    <s v="New York City"/>
    <x v="37"/>
    <x v="3"/>
  </r>
  <r>
    <s v="B-25964"/>
    <n v="1454"/>
    <n v="1374"/>
    <n v="80"/>
    <n v="20"/>
    <x v="0"/>
    <x v="0"/>
    <x v="3"/>
    <d v="2022-07-22T00:00:00"/>
    <s v="Vincent Perez"/>
    <x v="2"/>
    <s v="Rochester"/>
    <x v="58"/>
    <x v="2"/>
  </r>
  <r>
    <s v="B-26767"/>
    <n v="6724"/>
    <n v="5185"/>
    <n v="1539"/>
    <n v="19"/>
    <x v="2"/>
    <x v="11"/>
    <x v="4"/>
    <d v="2021-12-13T00:00:00"/>
    <s v="Dennis Rivera"/>
    <x v="3"/>
    <s v="San Francisco"/>
    <x v="13"/>
    <x v="1"/>
  </r>
  <r>
    <s v="B-26767"/>
    <n v="6724"/>
    <n v="5185"/>
    <n v="1539"/>
    <n v="19"/>
    <x v="2"/>
    <x v="11"/>
    <x v="4"/>
    <d v="2021-06-03T00:00:00"/>
    <s v="Nancy Keller"/>
    <x v="4"/>
    <s v="Dallas"/>
    <x v="22"/>
    <x v="0"/>
  </r>
  <r>
    <s v="B-25501"/>
    <n v="9874"/>
    <n v="5979"/>
    <n v="3895"/>
    <n v="4"/>
    <x v="1"/>
    <x v="9"/>
    <x v="2"/>
    <d v="2025-02-24T00:00:00"/>
    <s v="Michelle Anderson"/>
    <x v="5"/>
    <s v="Cleveland"/>
    <x v="9"/>
    <x v="7"/>
  </r>
  <r>
    <s v="B-26029"/>
    <n v="4918"/>
    <n v="3433"/>
    <n v="1485"/>
    <n v="7"/>
    <x v="0"/>
    <x v="10"/>
    <x v="0"/>
    <d v="2023-02-02T00:00:00"/>
    <s v="Anthony May"/>
    <x v="0"/>
    <s v="Tampa"/>
    <x v="14"/>
    <x v="7"/>
  </r>
  <r>
    <s v="B-25292"/>
    <n v="3189"/>
    <n v="2009"/>
    <n v="1180"/>
    <n v="19"/>
    <x v="1"/>
    <x v="8"/>
    <x v="3"/>
    <d v="2021-12-31T00:00:00"/>
    <s v="Michelle Guerra"/>
    <x v="2"/>
    <s v="New York City"/>
    <x v="13"/>
    <x v="1"/>
  </r>
  <r>
    <s v="B-25873"/>
    <n v="2684"/>
    <n v="1971"/>
    <n v="713"/>
    <n v="2"/>
    <x v="0"/>
    <x v="0"/>
    <x v="0"/>
    <d v="2024-06-15T00:00:00"/>
    <s v="Meghan Ballard"/>
    <x v="2"/>
    <s v="New York City"/>
    <x v="47"/>
    <x v="0"/>
  </r>
  <r>
    <s v="B-25873"/>
    <n v="2684"/>
    <n v="1971"/>
    <n v="713"/>
    <n v="2"/>
    <x v="0"/>
    <x v="0"/>
    <x v="0"/>
    <d v="2022-06-05T00:00:00"/>
    <s v="Brian Wheeler"/>
    <x v="2"/>
    <s v="Buffalo"/>
    <x v="33"/>
    <x v="0"/>
  </r>
  <r>
    <s v="B-25873"/>
    <n v="2684"/>
    <n v="1971"/>
    <n v="713"/>
    <n v="2"/>
    <x v="0"/>
    <x v="0"/>
    <x v="0"/>
    <d v="2020-05-11T00:00:00"/>
    <s v="William Rosario"/>
    <x v="4"/>
    <s v="Dallas"/>
    <x v="8"/>
    <x v="3"/>
  </r>
  <r>
    <s v="B-25444"/>
    <n v="7626"/>
    <n v="7397"/>
    <n v="229"/>
    <n v="5"/>
    <x v="1"/>
    <x v="2"/>
    <x v="2"/>
    <d v="2024-02-11T00:00:00"/>
    <s v="Jessica Hunt"/>
    <x v="1"/>
    <s v="Springfield"/>
    <x v="42"/>
    <x v="7"/>
  </r>
  <r>
    <s v="B-25444"/>
    <n v="7626"/>
    <n v="7397"/>
    <n v="229"/>
    <n v="5"/>
    <x v="1"/>
    <x v="2"/>
    <x v="2"/>
    <d v="2020-11-25T00:00:00"/>
    <s v="Tony Chavez"/>
    <x v="5"/>
    <s v="Columbus"/>
    <x v="11"/>
    <x v="5"/>
  </r>
  <r>
    <s v="B-26796"/>
    <n v="6669"/>
    <n v="3606"/>
    <n v="3063"/>
    <n v="19"/>
    <x v="0"/>
    <x v="1"/>
    <x v="0"/>
    <d v="2023-08-12T00:00:00"/>
    <s v="Mary Crawford"/>
    <x v="5"/>
    <s v="Cincinnati"/>
    <x v="21"/>
    <x v="9"/>
  </r>
  <r>
    <s v="B-25537"/>
    <n v="6123"/>
    <n v="4437"/>
    <n v="1686"/>
    <n v="3"/>
    <x v="1"/>
    <x v="6"/>
    <x v="3"/>
    <d v="2022-05-06T00:00:00"/>
    <s v="Roger Morrison"/>
    <x v="5"/>
    <s v="Cincinnati"/>
    <x v="37"/>
    <x v="3"/>
  </r>
  <r>
    <s v="B-26083"/>
    <n v="3265"/>
    <n v="1875"/>
    <n v="1390"/>
    <n v="16"/>
    <x v="1"/>
    <x v="8"/>
    <x v="3"/>
    <d v="2024-01-17T00:00:00"/>
    <s v="Bethany Harrison"/>
    <x v="3"/>
    <s v="Los Angeles"/>
    <x v="10"/>
    <x v="8"/>
  </r>
  <r>
    <s v="B-25298"/>
    <n v="8104"/>
    <n v="7065"/>
    <n v="1039"/>
    <n v="6"/>
    <x v="1"/>
    <x v="6"/>
    <x v="4"/>
    <d v="2021-11-24T00:00:00"/>
    <s v="Lisa Mcintyre"/>
    <x v="0"/>
    <s v="Orlando"/>
    <x v="35"/>
    <x v="5"/>
  </r>
  <r>
    <s v="B-25298"/>
    <n v="8104"/>
    <n v="7065"/>
    <n v="1039"/>
    <n v="6"/>
    <x v="1"/>
    <x v="6"/>
    <x v="4"/>
    <d v="2021-10-06T00:00:00"/>
    <s v="Carolyn Gonzalez"/>
    <x v="0"/>
    <s v="Miami"/>
    <x v="4"/>
    <x v="4"/>
  </r>
  <r>
    <s v="B-25298"/>
    <n v="8104"/>
    <n v="7065"/>
    <n v="1039"/>
    <n v="6"/>
    <x v="1"/>
    <x v="6"/>
    <x v="4"/>
    <d v="2025-01-27T00:00:00"/>
    <s v="Christina Oconnell"/>
    <x v="3"/>
    <s v="San Francisco"/>
    <x v="52"/>
    <x v="8"/>
  </r>
  <r>
    <s v="B-26734"/>
    <n v="847"/>
    <n v="492"/>
    <n v="355"/>
    <n v="17"/>
    <x v="2"/>
    <x v="4"/>
    <x v="4"/>
    <d v="2022-05-23T00:00:00"/>
    <s v="James Garcia"/>
    <x v="2"/>
    <s v="Buffalo"/>
    <x v="37"/>
    <x v="3"/>
  </r>
  <r>
    <s v="B-26734"/>
    <n v="847"/>
    <n v="492"/>
    <n v="355"/>
    <n v="17"/>
    <x v="2"/>
    <x v="4"/>
    <x v="4"/>
    <d v="2023-11-28T00:00:00"/>
    <s v="Emily Frederick"/>
    <x v="4"/>
    <s v="Austin"/>
    <x v="6"/>
    <x v="5"/>
  </r>
  <r>
    <s v="B-26734"/>
    <n v="847"/>
    <n v="492"/>
    <n v="355"/>
    <n v="17"/>
    <x v="2"/>
    <x v="4"/>
    <x v="4"/>
    <d v="2023-01-18T00:00:00"/>
    <s v="Shawn Wise"/>
    <x v="3"/>
    <s v="San Francisco"/>
    <x v="54"/>
    <x v="8"/>
  </r>
  <r>
    <s v="B-25483"/>
    <n v="3129"/>
    <n v="3074"/>
    <n v="55"/>
    <n v="9"/>
    <x v="2"/>
    <x v="11"/>
    <x v="1"/>
    <d v="2021-09-06T00:00:00"/>
    <s v="Carrie Alvarez"/>
    <x v="1"/>
    <s v="Peoria"/>
    <x v="43"/>
    <x v="10"/>
  </r>
  <r>
    <s v="B-25483"/>
    <n v="7821"/>
    <n v="4000"/>
    <n v="3821"/>
    <n v="13"/>
    <x v="0"/>
    <x v="3"/>
    <x v="2"/>
    <d v="2021-09-06T00:00:00"/>
    <s v="Carrie Alvarez"/>
    <x v="1"/>
    <s v="Peoria"/>
    <x v="43"/>
    <x v="10"/>
  </r>
  <r>
    <s v="B-26041"/>
    <n v="9498"/>
    <n v="9242"/>
    <n v="256"/>
    <n v="12"/>
    <x v="0"/>
    <x v="10"/>
    <x v="4"/>
    <d v="2021-02-22T00:00:00"/>
    <s v="Matthew James"/>
    <x v="1"/>
    <s v="Peoria"/>
    <x v="51"/>
    <x v="7"/>
  </r>
  <r>
    <s v="B-26041"/>
    <n v="9498"/>
    <n v="9242"/>
    <n v="256"/>
    <n v="12"/>
    <x v="0"/>
    <x v="10"/>
    <x v="4"/>
    <d v="2021-10-06T00:00:00"/>
    <s v="Jerry Alvarado"/>
    <x v="2"/>
    <s v="New York City"/>
    <x v="4"/>
    <x v="4"/>
  </r>
  <r>
    <s v="B-26750"/>
    <n v="5461"/>
    <n v="4247"/>
    <n v="1214"/>
    <n v="7"/>
    <x v="2"/>
    <x v="7"/>
    <x v="3"/>
    <d v="2020-06-07T00:00:00"/>
    <s v="Paul Zimmerman"/>
    <x v="2"/>
    <s v="Rochester"/>
    <x v="53"/>
    <x v="0"/>
  </r>
  <r>
    <s v="B-26138"/>
    <n v="3084"/>
    <n v="2473"/>
    <n v="611"/>
    <n v="19"/>
    <x v="2"/>
    <x v="11"/>
    <x v="0"/>
    <d v="2024-05-21T00:00:00"/>
    <s v="Carl Ryan"/>
    <x v="4"/>
    <s v="Dallas"/>
    <x v="3"/>
    <x v="3"/>
  </r>
  <r>
    <s v="B-26929"/>
    <n v="6087"/>
    <n v="3044"/>
    <n v="3043"/>
    <n v="1"/>
    <x v="2"/>
    <x v="7"/>
    <x v="4"/>
    <d v="2020-08-05T00:00:00"/>
    <s v="Kelly Roberts"/>
    <x v="2"/>
    <s v="Buffalo"/>
    <x v="38"/>
    <x v="9"/>
  </r>
  <r>
    <s v="B-25359"/>
    <n v="611"/>
    <n v="311"/>
    <n v="300"/>
    <n v="3"/>
    <x v="2"/>
    <x v="11"/>
    <x v="3"/>
    <d v="2020-10-15T00:00:00"/>
    <s v="Jack Woods"/>
    <x v="1"/>
    <s v="Peoria"/>
    <x v="20"/>
    <x v="4"/>
  </r>
  <r>
    <s v="B-25738"/>
    <n v="9909"/>
    <n v="6910"/>
    <n v="2999"/>
    <n v="18"/>
    <x v="1"/>
    <x v="6"/>
    <x v="4"/>
    <d v="2021-05-15T00:00:00"/>
    <s v="Albert Alexander Jr."/>
    <x v="5"/>
    <s v="Cleveland"/>
    <x v="18"/>
    <x v="3"/>
  </r>
  <r>
    <s v="B-25738"/>
    <n v="9909"/>
    <n v="6910"/>
    <n v="2999"/>
    <n v="18"/>
    <x v="1"/>
    <x v="6"/>
    <x v="4"/>
    <d v="2022-01-13T00:00:00"/>
    <s v="Teresa Perez"/>
    <x v="4"/>
    <s v="Austin"/>
    <x v="12"/>
    <x v="8"/>
  </r>
  <r>
    <s v="B-25931"/>
    <n v="6485"/>
    <n v="3307"/>
    <n v="3178"/>
    <n v="18"/>
    <x v="2"/>
    <x v="7"/>
    <x v="0"/>
    <d v="2023-07-18T00:00:00"/>
    <s v="Amanda Williams"/>
    <x v="5"/>
    <s v="Columbus"/>
    <x v="17"/>
    <x v="2"/>
  </r>
  <r>
    <s v="B-25706"/>
    <n v="7259"/>
    <n v="5290"/>
    <n v="1969"/>
    <n v="10"/>
    <x v="0"/>
    <x v="3"/>
    <x v="3"/>
    <d v="2022-12-08T00:00:00"/>
    <s v="Kristen Lawson"/>
    <x v="1"/>
    <s v="Springfield"/>
    <x v="29"/>
    <x v="1"/>
  </r>
  <r>
    <s v="B-25352"/>
    <n v="3333"/>
    <n v="2633"/>
    <n v="700"/>
    <n v="18"/>
    <x v="0"/>
    <x v="1"/>
    <x v="4"/>
    <d v="2023-04-17T00:00:00"/>
    <s v="Jacob Stewart"/>
    <x v="0"/>
    <s v="Miami"/>
    <x v="28"/>
    <x v="11"/>
  </r>
  <r>
    <s v="B-26909"/>
    <n v="7786"/>
    <n v="6584"/>
    <n v="1202"/>
    <n v="4"/>
    <x v="2"/>
    <x v="7"/>
    <x v="2"/>
    <d v="2020-06-23T00:00:00"/>
    <s v="Daniel Brooks"/>
    <x v="1"/>
    <s v="Peoria"/>
    <x v="53"/>
    <x v="0"/>
  </r>
  <r>
    <s v="B-26296"/>
    <n v="7644"/>
    <n v="5216"/>
    <n v="2428"/>
    <n v="6"/>
    <x v="0"/>
    <x v="10"/>
    <x v="1"/>
    <d v="2022-01-20T00:00:00"/>
    <s v="Aaron Dunn"/>
    <x v="1"/>
    <s v="Springfield"/>
    <x v="12"/>
    <x v="8"/>
  </r>
  <r>
    <s v="B-26112"/>
    <n v="1476"/>
    <n v="1229"/>
    <n v="247"/>
    <n v="5"/>
    <x v="2"/>
    <x v="11"/>
    <x v="4"/>
    <d v="2023-11-18T00:00:00"/>
    <s v="Jacob Martinez"/>
    <x v="3"/>
    <s v="Los Angeles"/>
    <x v="6"/>
    <x v="5"/>
  </r>
  <r>
    <s v="B-26112"/>
    <n v="1476"/>
    <n v="1229"/>
    <n v="247"/>
    <n v="5"/>
    <x v="2"/>
    <x v="11"/>
    <x v="4"/>
    <d v="2022-01-19T00:00:00"/>
    <s v="Raymond Burgess"/>
    <x v="3"/>
    <s v="San Diego"/>
    <x v="12"/>
    <x v="8"/>
  </r>
  <r>
    <s v="B-26790"/>
    <n v="3445"/>
    <n v="2040"/>
    <n v="1405"/>
    <n v="16"/>
    <x v="2"/>
    <x v="7"/>
    <x v="2"/>
    <d v="2020-09-21T00:00:00"/>
    <s v="Jennifer Cooke"/>
    <x v="3"/>
    <s v="San Francisco"/>
    <x v="57"/>
    <x v="10"/>
  </r>
  <r>
    <s v="B-26790"/>
    <n v="9837"/>
    <n v="9453"/>
    <n v="384"/>
    <n v="1"/>
    <x v="0"/>
    <x v="3"/>
    <x v="0"/>
    <d v="2020-09-21T00:00:00"/>
    <s v="Jennifer Cooke"/>
    <x v="3"/>
    <s v="San Francisco"/>
    <x v="57"/>
    <x v="10"/>
  </r>
  <r>
    <s v="B-25986"/>
    <n v="1314"/>
    <n v="857"/>
    <n v="457"/>
    <n v="8"/>
    <x v="2"/>
    <x v="7"/>
    <x v="2"/>
    <d v="2021-06-11T00:00:00"/>
    <s v="Tyrone White"/>
    <x v="3"/>
    <s v="San Diego"/>
    <x v="22"/>
    <x v="0"/>
  </r>
  <r>
    <s v="B-25630"/>
    <n v="5951"/>
    <n v="5015"/>
    <n v="936"/>
    <n v="6"/>
    <x v="0"/>
    <x v="3"/>
    <x v="1"/>
    <d v="2024-08-07T00:00:00"/>
    <s v="Charles Williams"/>
    <x v="4"/>
    <s v="Dallas"/>
    <x v="19"/>
    <x v="9"/>
  </r>
  <r>
    <s v="B-25630"/>
    <n v="5951"/>
    <n v="5015"/>
    <n v="936"/>
    <n v="6"/>
    <x v="0"/>
    <x v="3"/>
    <x v="1"/>
    <d v="2022-07-26T00:00:00"/>
    <s v="Amy Page"/>
    <x v="5"/>
    <s v="Columbus"/>
    <x v="58"/>
    <x v="2"/>
  </r>
  <r>
    <s v="B-26872"/>
    <n v="992"/>
    <n v="815"/>
    <n v="177"/>
    <n v="6"/>
    <x v="0"/>
    <x v="10"/>
    <x v="0"/>
    <d v="2024-01-13T00:00:00"/>
    <s v="Scott Gibbs"/>
    <x v="3"/>
    <s v="Los Angeles"/>
    <x v="10"/>
    <x v="8"/>
  </r>
  <r>
    <s v="B-26872"/>
    <n v="4699"/>
    <n v="4074"/>
    <n v="625"/>
    <n v="18"/>
    <x v="1"/>
    <x v="6"/>
    <x v="2"/>
    <d v="2024-01-13T00:00:00"/>
    <s v="Scott Gibbs"/>
    <x v="3"/>
    <s v="Los Angeles"/>
    <x v="10"/>
    <x v="8"/>
  </r>
  <r>
    <s v="B-25870"/>
    <n v="5557"/>
    <n v="3443"/>
    <n v="2114"/>
    <n v="17"/>
    <x v="0"/>
    <x v="3"/>
    <x v="2"/>
    <d v="2021-05-28T00:00:00"/>
    <s v="Angela Roberts"/>
    <x v="5"/>
    <s v="Cleveland"/>
    <x v="18"/>
    <x v="3"/>
  </r>
  <r>
    <s v="B-25991"/>
    <n v="3436"/>
    <n v="2503"/>
    <n v="933"/>
    <n v="3"/>
    <x v="0"/>
    <x v="0"/>
    <x v="3"/>
    <d v="2021-06-13T00:00:00"/>
    <s v="Kyle Hernandez"/>
    <x v="4"/>
    <s v="Dallas"/>
    <x v="22"/>
    <x v="0"/>
  </r>
  <r>
    <s v="B-25198"/>
    <n v="9840"/>
    <n v="5970"/>
    <n v="3870"/>
    <n v="11"/>
    <x v="0"/>
    <x v="1"/>
    <x v="1"/>
    <d v="2023-04-25T00:00:00"/>
    <s v="Cynthia Ferguson"/>
    <x v="4"/>
    <s v="Austin"/>
    <x v="28"/>
    <x v="11"/>
  </r>
  <r>
    <s v="B-25189"/>
    <n v="7620"/>
    <n v="7495"/>
    <n v="125"/>
    <n v="4"/>
    <x v="1"/>
    <x v="8"/>
    <x v="2"/>
    <d v="2021-07-05T00:00:00"/>
    <s v="Brandi Garcia"/>
    <x v="3"/>
    <s v="San Francisco"/>
    <x v="2"/>
    <x v="2"/>
  </r>
  <r>
    <s v="B-25189"/>
    <n v="7620"/>
    <n v="7495"/>
    <n v="125"/>
    <n v="4"/>
    <x v="1"/>
    <x v="8"/>
    <x v="2"/>
    <d v="2024-10-12T00:00:00"/>
    <s v="Matthew Blake"/>
    <x v="3"/>
    <s v="San Francisco"/>
    <x v="56"/>
    <x v="4"/>
  </r>
  <r>
    <s v="B-26563"/>
    <n v="4314"/>
    <n v="2723"/>
    <n v="1591"/>
    <n v="5"/>
    <x v="2"/>
    <x v="4"/>
    <x v="1"/>
    <d v="2021-10-04T00:00:00"/>
    <s v="Lauren Howell"/>
    <x v="2"/>
    <s v="Buffalo"/>
    <x v="4"/>
    <x v="4"/>
  </r>
  <r>
    <s v="B-25548"/>
    <n v="8851"/>
    <n v="7852"/>
    <n v="999"/>
    <n v="12"/>
    <x v="0"/>
    <x v="3"/>
    <x v="0"/>
    <d v="2024-02-07T00:00:00"/>
    <s v="Joseph Wilson"/>
    <x v="5"/>
    <s v="Cincinnati"/>
    <x v="42"/>
    <x v="7"/>
  </r>
  <r>
    <s v="B-25965"/>
    <n v="544"/>
    <n v="272"/>
    <n v="272"/>
    <n v="2"/>
    <x v="0"/>
    <x v="3"/>
    <x v="1"/>
    <d v="2021-03-05T00:00:00"/>
    <s v="Tanner Vance"/>
    <x v="4"/>
    <s v="Houston"/>
    <x v="34"/>
    <x v="6"/>
  </r>
  <r>
    <s v="B-25965"/>
    <n v="544"/>
    <n v="272"/>
    <n v="272"/>
    <n v="2"/>
    <x v="0"/>
    <x v="3"/>
    <x v="1"/>
    <d v="2023-06-25T00:00:00"/>
    <s v="Michael Nash"/>
    <x v="2"/>
    <s v="Buffalo"/>
    <x v="0"/>
    <x v="0"/>
  </r>
  <r>
    <s v="B-26545"/>
    <n v="537"/>
    <n v="395"/>
    <n v="142"/>
    <n v="20"/>
    <x v="1"/>
    <x v="6"/>
    <x v="2"/>
    <d v="2021-08-02T00:00:00"/>
    <s v="Brent Thomas"/>
    <x v="1"/>
    <s v="Peoria"/>
    <x v="36"/>
    <x v="9"/>
  </r>
  <r>
    <s v="B-26603"/>
    <n v="5944"/>
    <n v="3283"/>
    <n v="2661"/>
    <n v="7"/>
    <x v="0"/>
    <x v="3"/>
    <x v="2"/>
    <d v="2022-03-17T00:00:00"/>
    <s v="Harold Mitchell"/>
    <x v="4"/>
    <s v="Austin"/>
    <x v="25"/>
    <x v="6"/>
  </r>
  <r>
    <s v="B-26393"/>
    <n v="2258"/>
    <n v="2123"/>
    <n v="135"/>
    <n v="18"/>
    <x v="0"/>
    <x v="1"/>
    <x v="3"/>
    <d v="2024-02-07T00:00:00"/>
    <s v="Ashley Palmer"/>
    <x v="0"/>
    <s v="Miami"/>
    <x v="42"/>
    <x v="7"/>
  </r>
  <r>
    <s v="B-26393"/>
    <n v="2258"/>
    <n v="2123"/>
    <n v="135"/>
    <n v="18"/>
    <x v="0"/>
    <x v="1"/>
    <x v="3"/>
    <d v="2022-08-19T00:00:00"/>
    <s v="Stephen Hogan"/>
    <x v="3"/>
    <s v="San Diego"/>
    <x v="40"/>
    <x v="9"/>
  </r>
  <r>
    <s v="B-26628"/>
    <n v="9609"/>
    <n v="5270"/>
    <n v="4339"/>
    <n v="3"/>
    <x v="2"/>
    <x v="7"/>
    <x v="1"/>
    <d v="2024-09-19T00:00:00"/>
    <s v="George Ashley"/>
    <x v="4"/>
    <s v="Houston"/>
    <x v="31"/>
    <x v="10"/>
  </r>
  <r>
    <s v="B-26628"/>
    <n v="9609"/>
    <n v="5270"/>
    <n v="4339"/>
    <n v="3"/>
    <x v="2"/>
    <x v="7"/>
    <x v="1"/>
    <d v="2020-04-05T00:00:00"/>
    <s v="Sara Bailey"/>
    <x v="5"/>
    <s v="Cincinnati"/>
    <x v="32"/>
    <x v="11"/>
  </r>
  <r>
    <s v="B-25945"/>
    <n v="9952"/>
    <n v="6651"/>
    <n v="3301"/>
    <n v="15"/>
    <x v="0"/>
    <x v="0"/>
    <x v="1"/>
    <d v="2023-03-10T00:00:00"/>
    <s v="Tanya Thomas MD"/>
    <x v="4"/>
    <s v="Dallas"/>
    <x v="45"/>
    <x v="6"/>
  </r>
  <r>
    <s v="B-26565"/>
    <n v="9873"/>
    <n v="5288"/>
    <n v="4585"/>
    <n v="7"/>
    <x v="1"/>
    <x v="8"/>
    <x v="3"/>
    <d v="2020-08-10T00:00:00"/>
    <s v="Maria Galvan"/>
    <x v="5"/>
    <s v="Columbus"/>
    <x v="38"/>
    <x v="9"/>
  </r>
  <r>
    <s v="B-25684"/>
    <n v="3560"/>
    <n v="2225"/>
    <n v="1335"/>
    <n v="15"/>
    <x v="0"/>
    <x v="0"/>
    <x v="4"/>
    <d v="2020-04-29T00:00:00"/>
    <s v="Duane Kelly"/>
    <x v="2"/>
    <s v="New York City"/>
    <x v="32"/>
    <x v="11"/>
  </r>
  <r>
    <s v="B-25684"/>
    <n v="3560"/>
    <n v="2225"/>
    <n v="1335"/>
    <n v="15"/>
    <x v="0"/>
    <x v="0"/>
    <x v="4"/>
    <d v="2023-03-16T00:00:00"/>
    <s v="Frank Reynolds"/>
    <x v="1"/>
    <s v="Springfield"/>
    <x v="45"/>
    <x v="6"/>
  </r>
  <r>
    <s v="B-26612"/>
    <n v="6528"/>
    <n v="6452"/>
    <n v="76"/>
    <n v="9"/>
    <x v="0"/>
    <x v="10"/>
    <x v="1"/>
    <d v="2020-05-04T00:00:00"/>
    <s v="Aaron Kim"/>
    <x v="2"/>
    <s v="Buffalo"/>
    <x v="8"/>
    <x v="3"/>
  </r>
  <r>
    <s v="B-26612"/>
    <n v="8930"/>
    <n v="5556"/>
    <n v="3374"/>
    <n v="12"/>
    <x v="2"/>
    <x v="7"/>
    <x v="1"/>
    <d v="2020-05-04T00:00:00"/>
    <s v="Aaron Kim"/>
    <x v="2"/>
    <s v="Buffalo"/>
    <x v="8"/>
    <x v="3"/>
  </r>
  <r>
    <s v="B-25839"/>
    <n v="4521"/>
    <n v="2743"/>
    <n v="1778"/>
    <n v="9"/>
    <x v="1"/>
    <x v="8"/>
    <x v="1"/>
    <d v="2024-10-15T00:00:00"/>
    <s v="David Allen"/>
    <x v="0"/>
    <s v="Tampa"/>
    <x v="56"/>
    <x v="4"/>
  </r>
  <r>
    <s v="B-25898"/>
    <n v="7091"/>
    <n v="4774"/>
    <n v="2317"/>
    <n v="10"/>
    <x v="2"/>
    <x v="7"/>
    <x v="3"/>
    <d v="2022-06-09T00:00:00"/>
    <s v="Monica Lee"/>
    <x v="3"/>
    <s v="San Diego"/>
    <x v="33"/>
    <x v="0"/>
  </r>
  <r>
    <s v="B-26120"/>
    <n v="2101"/>
    <n v="1814"/>
    <n v="287"/>
    <n v="8"/>
    <x v="1"/>
    <x v="2"/>
    <x v="4"/>
    <d v="2020-07-04T00:00:00"/>
    <s v="Kimberly Fuller"/>
    <x v="5"/>
    <s v="Cleveland"/>
    <x v="60"/>
    <x v="2"/>
  </r>
  <r>
    <s v="B-26120"/>
    <n v="2101"/>
    <n v="1814"/>
    <n v="287"/>
    <n v="8"/>
    <x v="1"/>
    <x v="2"/>
    <x v="4"/>
    <d v="2023-04-09T00:00:00"/>
    <s v="Erica Scott"/>
    <x v="1"/>
    <s v="Chicago"/>
    <x v="28"/>
    <x v="11"/>
  </r>
  <r>
    <s v="B-26426"/>
    <n v="8644"/>
    <n v="6676"/>
    <n v="1968"/>
    <n v="9"/>
    <x v="1"/>
    <x v="8"/>
    <x v="1"/>
    <d v="2023-11-24T00:00:00"/>
    <s v="Melissa Mitchell"/>
    <x v="1"/>
    <s v="Chicago"/>
    <x v="6"/>
    <x v="5"/>
  </r>
  <r>
    <s v="B-26309"/>
    <n v="6672"/>
    <n v="3353"/>
    <n v="3319"/>
    <n v="4"/>
    <x v="2"/>
    <x v="4"/>
    <x v="0"/>
    <d v="2023-11-29T00:00:00"/>
    <s v="Joshua Murray"/>
    <x v="4"/>
    <s v="Dallas"/>
    <x v="6"/>
    <x v="5"/>
  </r>
  <r>
    <s v="B-26309"/>
    <n v="6672"/>
    <n v="3353"/>
    <n v="3319"/>
    <n v="4"/>
    <x v="2"/>
    <x v="4"/>
    <x v="0"/>
    <d v="2024-05-20T00:00:00"/>
    <s v="John Jones"/>
    <x v="3"/>
    <s v="San Diego"/>
    <x v="3"/>
    <x v="3"/>
  </r>
  <r>
    <s v="B-26789"/>
    <n v="4699"/>
    <n v="4596"/>
    <n v="103"/>
    <n v="12"/>
    <x v="1"/>
    <x v="9"/>
    <x v="0"/>
    <d v="2024-05-21T00:00:00"/>
    <s v="Cheryl Johnson"/>
    <x v="5"/>
    <s v="Cincinnati"/>
    <x v="3"/>
    <x v="3"/>
  </r>
  <r>
    <s v="B-26420"/>
    <n v="4897"/>
    <n v="3896"/>
    <n v="1001"/>
    <n v="14"/>
    <x v="2"/>
    <x v="7"/>
    <x v="1"/>
    <d v="2021-12-07T00:00:00"/>
    <s v="Lisa Farmer"/>
    <x v="4"/>
    <s v="Houston"/>
    <x v="13"/>
    <x v="1"/>
  </r>
  <r>
    <s v="B-26420"/>
    <n v="4897"/>
    <n v="3896"/>
    <n v="1001"/>
    <n v="14"/>
    <x v="2"/>
    <x v="7"/>
    <x v="1"/>
    <d v="2025-01-06T00:00:00"/>
    <s v="Christopher Walker"/>
    <x v="5"/>
    <s v="Cincinnati"/>
    <x v="52"/>
    <x v="8"/>
  </r>
  <r>
    <s v="B-26257"/>
    <n v="5460"/>
    <n v="3372"/>
    <n v="2088"/>
    <n v="14"/>
    <x v="2"/>
    <x v="4"/>
    <x v="1"/>
    <d v="2022-07-13T00:00:00"/>
    <s v="Elizabeth Coffey"/>
    <x v="2"/>
    <s v="Buffalo"/>
    <x v="58"/>
    <x v="2"/>
  </r>
  <r>
    <s v="B-26257"/>
    <n v="5460"/>
    <n v="3372"/>
    <n v="2088"/>
    <n v="14"/>
    <x v="2"/>
    <x v="4"/>
    <x v="1"/>
    <d v="2020-04-19T00:00:00"/>
    <s v="Joseph Clark"/>
    <x v="5"/>
    <s v="Cincinnati"/>
    <x v="32"/>
    <x v="11"/>
  </r>
  <r>
    <s v="B-25603"/>
    <n v="9272"/>
    <n v="7501"/>
    <n v="1771"/>
    <n v="19"/>
    <x v="1"/>
    <x v="6"/>
    <x v="0"/>
    <d v="2024-11-14T00:00:00"/>
    <s v="Jamie Brewer"/>
    <x v="1"/>
    <s v="Springfield"/>
    <x v="46"/>
    <x v="5"/>
  </r>
  <r>
    <s v="B-25603"/>
    <n v="9272"/>
    <n v="7501"/>
    <n v="1771"/>
    <n v="19"/>
    <x v="1"/>
    <x v="6"/>
    <x v="0"/>
    <d v="2020-04-18T00:00:00"/>
    <s v="Lauren Boyer"/>
    <x v="4"/>
    <s v="Dallas"/>
    <x v="32"/>
    <x v="11"/>
  </r>
  <r>
    <s v="B-25010"/>
    <n v="7870"/>
    <n v="6813"/>
    <n v="1057"/>
    <n v="15"/>
    <x v="1"/>
    <x v="2"/>
    <x v="3"/>
    <d v="2023-10-18T00:00:00"/>
    <s v="Howard Esparza"/>
    <x v="4"/>
    <s v="Houston"/>
    <x v="59"/>
    <x v="4"/>
  </r>
  <r>
    <s v="B-25010"/>
    <n v="7870"/>
    <n v="6813"/>
    <n v="1057"/>
    <n v="15"/>
    <x v="1"/>
    <x v="2"/>
    <x v="3"/>
    <d v="2021-03-21T00:00:00"/>
    <s v="James Hickman"/>
    <x v="5"/>
    <s v="Cleveland"/>
    <x v="34"/>
    <x v="6"/>
  </r>
  <r>
    <s v="B-25889"/>
    <n v="7992"/>
    <n v="7099"/>
    <n v="893"/>
    <n v="12"/>
    <x v="0"/>
    <x v="3"/>
    <x v="3"/>
    <d v="2024-09-13T00:00:00"/>
    <s v="Jennifer Hernandez"/>
    <x v="5"/>
    <s v="Cleveland"/>
    <x v="31"/>
    <x v="10"/>
  </r>
  <r>
    <s v="B-25889"/>
    <n v="7992"/>
    <n v="7099"/>
    <n v="893"/>
    <n v="12"/>
    <x v="0"/>
    <x v="3"/>
    <x v="3"/>
    <d v="2023-05-04T00:00:00"/>
    <s v="Shannon Warren"/>
    <x v="2"/>
    <s v="New York City"/>
    <x v="23"/>
    <x v="3"/>
  </r>
  <r>
    <s v="B-25889"/>
    <n v="7992"/>
    <n v="7099"/>
    <n v="893"/>
    <n v="12"/>
    <x v="0"/>
    <x v="3"/>
    <x v="3"/>
    <d v="2023-05-31T00:00:00"/>
    <s v="Ashley Aguilar"/>
    <x v="1"/>
    <s v="Chicago"/>
    <x v="23"/>
    <x v="3"/>
  </r>
  <r>
    <s v="B-26675"/>
    <n v="6499"/>
    <n v="4310"/>
    <n v="2189"/>
    <n v="18"/>
    <x v="0"/>
    <x v="0"/>
    <x v="2"/>
    <d v="2024-06-15T00:00:00"/>
    <s v="Daniel Price"/>
    <x v="2"/>
    <s v="New York City"/>
    <x v="47"/>
    <x v="0"/>
  </r>
  <r>
    <s v="B-26675"/>
    <n v="6499"/>
    <n v="4310"/>
    <n v="2189"/>
    <n v="18"/>
    <x v="0"/>
    <x v="0"/>
    <x v="2"/>
    <d v="2021-04-03T00:00:00"/>
    <s v="James Perez"/>
    <x v="0"/>
    <s v="Orlando"/>
    <x v="27"/>
    <x v="11"/>
  </r>
  <r>
    <s v="B-26168"/>
    <n v="8848"/>
    <n v="6758"/>
    <n v="2090"/>
    <n v="9"/>
    <x v="1"/>
    <x v="2"/>
    <x v="1"/>
    <d v="2025-01-14T00:00:00"/>
    <s v="Jerry Smith"/>
    <x v="3"/>
    <s v="San Diego"/>
    <x v="52"/>
    <x v="8"/>
  </r>
  <r>
    <s v="B-25436"/>
    <n v="8044"/>
    <n v="4410"/>
    <n v="3634"/>
    <n v="3"/>
    <x v="1"/>
    <x v="6"/>
    <x v="4"/>
    <d v="2020-12-24T00:00:00"/>
    <s v="Andre Fernandez"/>
    <x v="0"/>
    <s v="Orlando"/>
    <x v="50"/>
    <x v="1"/>
  </r>
  <r>
    <s v="B-25436"/>
    <n v="8044"/>
    <n v="4410"/>
    <n v="3634"/>
    <n v="3"/>
    <x v="1"/>
    <x v="6"/>
    <x v="4"/>
    <d v="2022-10-07T00:00:00"/>
    <s v="Anthony West"/>
    <x v="3"/>
    <s v="San Diego"/>
    <x v="15"/>
    <x v="4"/>
  </r>
  <r>
    <s v="B-25794"/>
    <n v="7417"/>
    <n v="6083"/>
    <n v="1334"/>
    <n v="16"/>
    <x v="2"/>
    <x v="11"/>
    <x v="4"/>
    <d v="2021-10-05T00:00:00"/>
    <s v="Amber Flowers"/>
    <x v="0"/>
    <s v="Tampa"/>
    <x v="4"/>
    <x v="4"/>
  </r>
  <r>
    <s v="B-26495"/>
    <n v="3451"/>
    <n v="2793"/>
    <n v="658"/>
    <n v="3"/>
    <x v="1"/>
    <x v="6"/>
    <x v="0"/>
    <d v="2024-12-28T00:00:00"/>
    <s v="Patricia Davis"/>
    <x v="1"/>
    <s v="Chicago"/>
    <x v="1"/>
    <x v="1"/>
  </r>
  <r>
    <s v="B-25815"/>
    <n v="8531"/>
    <n v="5976"/>
    <n v="2555"/>
    <n v="4"/>
    <x v="0"/>
    <x v="3"/>
    <x v="2"/>
    <d v="2022-05-14T00:00:00"/>
    <s v="Jasmine Gibbs"/>
    <x v="4"/>
    <s v="Austin"/>
    <x v="37"/>
    <x v="3"/>
  </r>
  <r>
    <s v="B-25022"/>
    <n v="6646"/>
    <n v="5798"/>
    <n v="848"/>
    <n v="15"/>
    <x v="2"/>
    <x v="7"/>
    <x v="1"/>
    <d v="2023-08-19T00:00:00"/>
    <s v="Nicole Dudley"/>
    <x v="2"/>
    <s v="New York City"/>
    <x v="21"/>
    <x v="9"/>
  </r>
  <r>
    <s v="B-25022"/>
    <n v="6646"/>
    <n v="5798"/>
    <n v="848"/>
    <n v="15"/>
    <x v="2"/>
    <x v="7"/>
    <x v="1"/>
    <d v="2023-07-14T00:00:00"/>
    <s v="Lori Colon"/>
    <x v="2"/>
    <s v="Buffalo"/>
    <x v="17"/>
    <x v="2"/>
  </r>
  <r>
    <s v="B-26928"/>
    <n v="2553"/>
    <n v="1646"/>
    <n v="907"/>
    <n v="6"/>
    <x v="0"/>
    <x v="3"/>
    <x v="3"/>
    <d v="2023-06-22T00:00:00"/>
    <s v="William Carr"/>
    <x v="4"/>
    <s v="Dallas"/>
    <x v="0"/>
    <x v="0"/>
  </r>
  <r>
    <s v="B-25905"/>
    <n v="8490"/>
    <n v="5005"/>
    <n v="3485"/>
    <n v="3"/>
    <x v="0"/>
    <x v="10"/>
    <x v="3"/>
    <d v="2023-03-21T00:00:00"/>
    <s v="Jeffrey Dixon"/>
    <x v="2"/>
    <s v="New York City"/>
    <x v="45"/>
    <x v="6"/>
  </r>
  <r>
    <s v="B-26739"/>
    <n v="2689"/>
    <n v="1359"/>
    <n v="1330"/>
    <n v="3"/>
    <x v="2"/>
    <x v="4"/>
    <x v="0"/>
    <d v="2020-12-13T00:00:00"/>
    <s v="Robert Sexton"/>
    <x v="3"/>
    <s v="Los Angeles"/>
    <x v="50"/>
    <x v="1"/>
  </r>
  <r>
    <s v="B-26739"/>
    <n v="2689"/>
    <n v="1359"/>
    <n v="1330"/>
    <n v="3"/>
    <x v="2"/>
    <x v="4"/>
    <x v="0"/>
    <d v="2024-05-29T00:00:00"/>
    <s v="Brooke Gonzalez"/>
    <x v="0"/>
    <s v="Miami"/>
    <x v="3"/>
    <x v="3"/>
  </r>
  <r>
    <s v="B-25697"/>
    <n v="815"/>
    <n v="761"/>
    <n v="54"/>
    <n v="14"/>
    <x v="2"/>
    <x v="4"/>
    <x v="1"/>
    <d v="2021-05-25T00:00:00"/>
    <s v="Victoria Bryant MD"/>
    <x v="3"/>
    <s v="San Francisco"/>
    <x v="18"/>
    <x v="3"/>
  </r>
  <r>
    <s v="B-25234"/>
    <n v="5024"/>
    <n v="4645"/>
    <n v="379"/>
    <n v="2"/>
    <x v="1"/>
    <x v="8"/>
    <x v="0"/>
    <d v="2024-04-02T00:00:00"/>
    <s v="Nancy Kennedy"/>
    <x v="4"/>
    <s v="Dallas"/>
    <x v="44"/>
    <x v="11"/>
  </r>
  <r>
    <s v="B-25234"/>
    <n v="5024"/>
    <n v="4645"/>
    <n v="379"/>
    <n v="2"/>
    <x v="1"/>
    <x v="8"/>
    <x v="0"/>
    <d v="2022-12-03T00:00:00"/>
    <s v="Andrew Barry"/>
    <x v="1"/>
    <s v="Peoria"/>
    <x v="29"/>
    <x v="1"/>
  </r>
  <r>
    <s v="B-25665"/>
    <n v="8962"/>
    <n v="6518"/>
    <n v="2444"/>
    <n v="18"/>
    <x v="0"/>
    <x v="0"/>
    <x v="1"/>
    <d v="2021-07-12T00:00:00"/>
    <s v="Carlos Wheeler"/>
    <x v="5"/>
    <s v="Cleveland"/>
    <x v="2"/>
    <x v="2"/>
  </r>
  <r>
    <s v="B-25665"/>
    <n v="8962"/>
    <n v="6518"/>
    <n v="2444"/>
    <n v="18"/>
    <x v="0"/>
    <x v="0"/>
    <x v="1"/>
    <d v="2020-03-22T00:00:00"/>
    <s v="Isabella Roach"/>
    <x v="1"/>
    <s v="Peoria"/>
    <x v="7"/>
    <x v="6"/>
  </r>
  <r>
    <s v="B-25028"/>
    <n v="1961"/>
    <n v="1902"/>
    <n v="59"/>
    <n v="12"/>
    <x v="1"/>
    <x v="9"/>
    <x v="0"/>
    <d v="2020-08-09T00:00:00"/>
    <s v="Samantha Williams"/>
    <x v="0"/>
    <s v="Orlando"/>
    <x v="38"/>
    <x v="9"/>
  </r>
  <r>
    <s v="B-26659"/>
    <n v="526"/>
    <n v="443"/>
    <n v="83"/>
    <n v="4"/>
    <x v="2"/>
    <x v="7"/>
    <x v="3"/>
    <d v="2022-02-18T00:00:00"/>
    <s v="Samuel Little MD"/>
    <x v="1"/>
    <s v="Chicago"/>
    <x v="26"/>
    <x v="7"/>
  </r>
  <r>
    <s v="B-25966"/>
    <n v="6093"/>
    <n v="3051"/>
    <n v="3042"/>
    <n v="9"/>
    <x v="2"/>
    <x v="11"/>
    <x v="1"/>
    <d v="2021-06-14T00:00:00"/>
    <s v="Paul Taylor"/>
    <x v="3"/>
    <s v="San Francisco"/>
    <x v="22"/>
    <x v="0"/>
  </r>
  <r>
    <s v="B-25966"/>
    <n v="6093"/>
    <n v="3051"/>
    <n v="3042"/>
    <n v="9"/>
    <x v="2"/>
    <x v="11"/>
    <x v="1"/>
    <d v="2021-03-01T00:00:00"/>
    <s v="Susan Baker"/>
    <x v="3"/>
    <s v="San Diego"/>
    <x v="34"/>
    <x v="6"/>
  </r>
  <r>
    <s v="B-25350"/>
    <n v="7699"/>
    <n v="7453"/>
    <n v="246"/>
    <n v="5"/>
    <x v="0"/>
    <x v="0"/>
    <x v="1"/>
    <d v="2023-09-23T00:00:00"/>
    <s v="Mark Fry"/>
    <x v="4"/>
    <s v="Austin"/>
    <x v="48"/>
    <x v="10"/>
  </r>
  <r>
    <s v="B-26370"/>
    <n v="8825"/>
    <n v="5231"/>
    <n v="3594"/>
    <n v="15"/>
    <x v="2"/>
    <x v="4"/>
    <x v="1"/>
    <d v="2024-07-31T00:00:00"/>
    <s v="Megan Mclean"/>
    <x v="2"/>
    <s v="New York City"/>
    <x v="41"/>
    <x v="2"/>
  </r>
  <r>
    <s v="B-26298"/>
    <n v="2082"/>
    <n v="1440"/>
    <n v="642"/>
    <n v="8"/>
    <x v="0"/>
    <x v="10"/>
    <x v="2"/>
    <d v="2020-06-02T00:00:00"/>
    <s v="Caitlin Hunt"/>
    <x v="2"/>
    <s v="Rochester"/>
    <x v="53"/>
    <x v="0"/>
  </r>
  <r>
    <s v="B-26298"/>
    <n v="2082"/>
    <n v="1440"/>
    <n v="642"/>
    <n v="8"/>
    <x v="0"/>
    <x v="10"/>
    <x v="2"/>
    <d v="2022-12-15T00:00:00"/>
    <s v="Jenna Holland"/>
    <x v="4"/>
    <s v="Austin"/>
    <x v="29"/>
    <x v="1"/>
  </r>
  <r>
    <s v="B-26298"/>
    <n v="2082"/>
    <n v="1440"/>
    <n v="642"/>
    <n v="8"/>
    <x v="0"/>
    <x v="10"/>
    <x v="2"/>
    <d v="2020-08-07T00:00:00"/>
    <s v="Stephanie Oconnell"/>
    <x v="2"/>
    <s v="Buffalo"/>
    <x v="38"/>
    <x v="9"/>
  </r>
  <r>
    <s v="B-25068"/>
    <n v="914"/>
    <n v="751"/>
    <n v="163"/>
    <n v="13"/>
    <x v="1"/>
    <x v="6"/>
    <x v="0"/>
    <d v="2024-10-26T00:00:00"/>
    <s v="Andrea Hill"/>
    <x v="1"/>
    <s v="Chicago"/>
    <x v="5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EF18A-DD74-4C1F-BCA5-127667E68366}" name="Tabela dinâmica5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26:C32" firstHeaderRow="1" firstDataRow="1" firstDataCol="1"/>
  <pivotFields count="14">
    <pivotField showAll="0"/>
    <pivotField numFmtId="44" showAll="0"/>
    <pivotField numFmtId="44" showAll="0"/>
    <pivotField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/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showAll="0">
      <items count="13">
        <item x="8"/>
        <item x="7"/>
        <item x="6"/>
        <item x="11"/>
        <item x="3"/>
        <item x="0"/>
        <item x="2"/>
        <item x="9"/>
        <item x="10"/>
        <item x="4"/>
        <item x="5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ty" fld="4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4C428-2272-4F4F-BFCE-7FEF48001081}" name="Tabela dinâ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K4:L17" firstHeaderRow="1" firstDataRow="1" firstDataCol="1"/>
  <pivotFields count="14">
    <pivotField showAll="0"/>
    <pivotField numFmtId="44" showAll="0"/>
    <pivotField numFmtId="44"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axis="axisRow" showAll="0">
      <items count="13">
        <item x="8"/>
        <item x="7"/>
        <item x="6"/>
        <item x="11"/>
        <item x="3"/>
        <item x="0"/>
        <item x="2"/>
        <item x="9"/>
        <item x="10"/>
        <item x="4"/>
        <item x="5"/>
        <item x="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Profit" fld="3" baseField="0" baseItem="0" numFmtId="44"/>
  </dataFields>
  <formats count="2">
    <format dxfId="2">
      <pivotArea collapsedLevelsAreSubtotals="1" fieldPosition="0">
        <references count="1">
          <reference field="13" count="1">
            <x v="2"/>
          </reference>
        </references>
      </pivotArea>
    </format>
    <format dxfId="1">
      <pivotArea outline="0" collapsedLevelsAreSubtotals="1" fieldPosition="0"/>
    </format>
  </format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717C1-94E4-47F3-86DA-504E4BA87D7E}" name="Tabela dinâmica6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B4:C17" firstHeaderRow="1" firstDataRow="1" firstDataCol="1"/>
  <pivotFields count="14">
    <pivotField showAll="0"/>
    <pivotField numFmtId="44" showAll="0"/>
    <pivotField numFmtId="44"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14" showAll="0"/>
    <pivotField showAll="0"/>
    <pivotField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showAll="0">
      <items count="13">
        <item x="8"/>
        <item x="7"/>
        <item x="6"/>
        <item x="11"/>
        <item x="3"/>
        <item x="0"/>
        <item x="2"/>
        <item x="9"/>
        <item x="10"/>
        <item x="4"/>
        <item x="5"/>
        <item x="1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Profit" fld="3" baseField="0" baseItem="0" numFmtId="44"/>
  </dataFields>
  <formats count="1">
    <format dxfId="3">
      <pivotArea outline="0" collapsedLevelsAreSubtotals="1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E96D2BA4-0A8E-49E7-9A7D-9E732FD0E81C}" sourceName="Category">
  <pivotTables>
    <pivotTable tabId="2" name="Tabela dinâmica4"/>
    <pivotTable tabId="2" name="Tabela dinâmica5"/>
    <pivotTable tabId="2" name="Tabela dinâmica6"/>
  </pivotTables>
  <data>
    <tabular pivotCacheId="1272442960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1" xr10:uid="{43EEED6B-AC9D-4BF9-AB5F-BAA5AE36DFDF}" sourceName="State">
  <pivotTables>
    <pivotTable tabId="2" name="Tabela dinâmica4"/>
    <pivotTable tabId="2" name="Tabela dinâmica5"/>
    <pivotTable tabId="2" name="Tabela dinâmica6"/>
  </pivotTables>
  <data>
    <tabular pivotCacheId="1272442960">
      <items count="6">
        <i x="3" s="1"/>
        <i x="0" s="1"/>
        <i x="1" s="1"/>
        <i x="2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85AC1844-F1D1-4EC0-BD3A-DB44D2884B55}" cache="SegmentaçãodeDados_Category" caption="Category" columnCount="3" style="SlicerStyleDark6" rowHeight="234950"/>
  <slicer name="State 1" xr10:uid="{C848F7EC-981F-4A15-8809-D9EF910100E2}" cache="SegmentaçãodeDados_State1" caption="State" columnCount="6" style="SlicerStyleDark6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EC93-8D99-4A41-A76C-5FC91A4F5E3A}">
  <dimension ref="A1:N1195"/>
  <sheetViews>
    <sheetView workbookViewId="0">
      <selection activeCell="H5" sqref="H5"/>
    </sheetView>
  </sheetViews>
  <sheetFormatPr defaultRowHeight="14.4" x14ac:dyDescent="0.3"/>
  <cols>
    <col min="1" max="1" width="7.88671875" bestFit="1" customWidth="1"/>
    <col min="2" max="3" width="10.109375" bestFit="1" customWidth="1"/>
    <col min="4" max="4" width="5.5546875" bestFit="1" customWidth="1"/>
    <col min="5" max="5" width="8" bestFit="1" customWidth="1"/>
    <col min="6" max="6" width="13.109375" bestFit="1" customWidth="1"/>
    <col min="7" max="7" width="15.21875" bestFit="1" customWidth="1"/>
    <col min="8" max="8" width="12.88671875" bestFit="1" customWidth="1"/>
    <col min="9" max="9" width="10.5546875" bestFit="1" customWidth="1"/>
    <col min="10" max="10" width="21.44140625" bestFit="1" customWidth="1"/>
    <col min="12" max="12" width="12.44140625" bestFit="1" customWidth="1"/>
    <col min="13" max="13" width="10.77734375" bestFit="1" customWidth="1"/>
    <col min="14" max="14" width="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9726</v>
      </c>
      <c r="C2" s="1">
        <f t="shared" ref="C2:C65" si="0">B2-D2</f>
        <v>8451</v>
      </c>
      <c r="D2">
        <v>1275</v>
      </c>
      <c r="E2">
        <v>5</v>
      </c>
      <c r="F2" t="s">
        <v>15</v>
      </c>
      <c r="G2" t="s">
        <v>16</v>
      </c>
      <c r="H2" t="s">
        <v>17</v>
      </c>
      <c r="I2" s="2">
        <v>45104</v>
      </c>
      <c r="J2" t="s">
        <v>18</v>
      </c>
      <c r="K2" t="s">
        <v>19</v>
      </c>
      <c r="L2" t="s">
        <v>20</v>
      </c>
      <c r="M2" t="s">
        <v>21</v>
      </c>
      <c r="N2" t="str">
        <f>TEXT(DATE(LEFT(M2,4),RIGHT(M2,2),1),"mmmm")</f>
        <v>June</v>
      </c>
    </row>
    <row r="3" spans="1:14" x14ac:dyDescent="0.3">
      <c r="A3" t="s">
        <v>14</v>
      </c>
      <c r="B3" s="1">
        <v>9726</v>
      </c>
      <c r="C3" s="1">
        <f t="shared" si="0"/>
        <v>8451</v>
      </c>
      <c r="D3">
        <v>1275</v>
      </c>
      <c r="E3">
        <v>5</v>
      </c>
      <c r="F3" t="s">
        <v>15</v>
      </c>
      <c r="G3" t="s">
        <v>16</v>
      </c>
      <c r="H3" t="s">
        <v>17</v>
      </c>
      <c r="I3" s="2">
        <v>45653</v>
      </c>
      <c r="J3" t="s">
        <v>22</v>
      </c>
      <c r="K3" t="s">
        <v>23</v>
      </c>
      <c r="L3" t="s">
        <v>24</v>
      </c>
      <c r="M3" t="s">
        <v>25</v>
      </c>
      <c r="N3" t="str">
        <f t="shared" ref="N3:N66" si="1">TEXT(DATE(LEFT(M3,4),RIGHT(M3,2),1),"mmmm")</f>
        <v>December</v>
      </c>
    </row>
    <row r="4" spans="1:14" x14ac:dyDescent="0.3">
      <c r="A4" t="s">
        <v>14</v>
      </c>
      <c r="B4" s="1">
        <v>9726</v>
      </c>
      <c r="C4" s="1">
        <f t="shared" si="0"/>
        <v>8451</v>
      </c>
      <c r="D4">
        <v>1275</v>
      </c>
      <c r="E4">
        <v>5</v>
      </c>
      <c r="F4" t="s">
        <v>15</v>
      </c>
      <c r="G4" t="s">
        <v>16</v>
      </c>
      <c r="H4" t="s">
        <v>17</v>
      </c>
      <c r="I4" s="2">
        <v>44402</v>
      </c>
      <c r="J4" t="s">
        <v>26</v>
      </c>
      <c r="K4" t="s">
        <v>27</v>
      </c>
      <c r="L4" t="s">
        <v>28</v>
      </c>
      <c r="M4" t="s">
        <v>29</v>
      </c>
      <c r="N4" t="str">
        <f t="shared" si="1"/>
        <v>July</v>
      </c>
    </row>
    <row r="5" spans="1:14" x14ac:dyDescent="0.3">
      <c r="A5" t="s">
        <v>14</v>
      </c>
      <c r="B5" s="1">
        <v>4975</v>
      </c>
      <c r="C5" s="1">
        <f t="shared" si="0"/>
        <v>3645</v>
      </c>
      <c r="D5">
        <v>1330</v>
      </c>
      <c r="E5">
        <v>14</v>
      </c>
      <c r="F5" t="s">
        <v>15</v>
      </c>
      <c r="G5" t="s">
        <v>30</v>
      </c>
      <c r="H5" t="s">
        <v>17</v>
      </c>
      <c r="I5" s="2">
        <v>45104</v>
      </c>
      <c r="J5" t="s">
        <v>18</v>
      </c>
      <c r="K5" t="s">
        <v>19</v>
      </c>
      <c r="L5" t="s">
        <v>20</v>
      </c>
      <c r="M5" t="s">
        <v>21</v>
      </c>
      <c r="N5" t="str">
        <f t="shared" si="1"/>
        <v>June</v>
      </c>
    </row>
    <row r="6" spans="1:14" x14ac:dyDescent="0.3">
      <c r="A6" t="s">
        <v>14</v>
      </c>
      <c r="B6" s="1">
        <v>4975</v>
      </c>
      <c r="C6" s="1">
        <f t="shared" si="0"/>
        <v>3645</v>
      </c>
      <c r="D6">
        <v>1330</v>
      </c>
      <c r="E6">
        <v>14</v>
      </c>
      <c r="F6" t="s">
        <v>15</v>
      </c>
      <c r="G6" t="s">
        <v>30</v>
      </c>
      <c r="H6" t="s">
        <v>17</v>
      </c>
      <c r="I6" s="2">
        <v>45653</v>
      </c>
      <c r="J6" t="s">
        <v>22</v>
      </c>
      <c r="K6" t="s">
        <v>23</v>
      </c>
      <c r="L6" t="s">
        <v>24</v>
      </c>
      <c r="M6" t="s">
        <v>25</v>
      </c>
      <c r="N6" t="str">
        <f t="shared" si="1"/>
        <v>December</v>
      </c>
    </row>
    <row r="7" spans="1:14" x14ac:dyDescent="0.3">
      <c r="A7" t="s">
        <v>14</v>
      </c>
      <c r="B7" s="1">
        <v>4975</v>
      </c>
      <c r="C7" s="1">
        <f t="shared" si="0"/>
        <v>3645</v>
      </c>
      <c r="D7">
        <v>1330</v>
      </c>
      <c r="E7">
        <v>14</v>
      </c>
      <c r="F7" t="s">
        <v>15</v>
      </c>
      <c r="G7" t="s">
        <v>30</v>
      </c>
      <c r="H7" t="s">
        <v>17</v>
      </c>
      <c r="I7" s="2">
        <v>44402</v>
      </c>
      <c r="J7" t="s">
        <v>26</v>
      </c>
      <c r="K7" t="s">
        <v>27</v>
      </c>
      <c r="L7" t="s">
        <v>28</v>
      </c>
      <c r="M7" t="s">
        <v>29</v>
      </c>
      <c r="N7" t="str">
        <f t="shared" si="1"/>
        <v>July</v>
      </c>
    </row>
    <row r="8" spans="1:14" x14ac:dyDescent="0.3">
      <c r="A8" t="s">
        <v>31</v>
      </c>
      <c r="B8" s="1">
        <v>1525</v>
      </c>
      <c r="C8" s="1">
        <f t="shared" si="0"/>
        <v>1340</v>
      </c>
      <c r="D8">
        <v>185</v>
      </c>
      <c r="E8">
        <v>12</v>
      </c>
      <c r="F8" t="s">
        <v>32</v>
      </c>
      <c r="G8" t="s">
        <v>33</v>
      </c>
      <c r="H8" t="s">
        <v>34</v>
      </c>
      <c r="I8" s="2">
        <v>45423</v>
      </c>
      <c r="J8" t="s">
        <v>35</v>
      </c>
      <c r="K8" t="s">
        <v>19</v>
      </c>
      <c r="L8" t="s">
        <v>36</v>
      </c>
      <c r="M8" t="s">
        <v>37</v>
      </c>
      <c r="N8" t="str">
        <f t="shared" si="1"/>
        <v>May</v>
      </c>
    </row>
    <row r="9" spans="1:14" x14ac:dyDescent="0.3">
      <c r="A9" t="s">
        <v>31</v>
      </c>
      <c r="B9" s="1">
        <v>1525</v>
      </c>
      <c r="C9" s="1">
        <f t="shared" si="0"/>
        <v>1340</v>
      </c>
      <c r="D9">
        <v>185</v>
      </c>
      <c r="E9">
        <v>12</v>
      </c>
      <c r="F9" t="s">
        <v>32</v>
      </c>
      <c r="G9" t="s">
        <v>33</v>
      </c>
      <c r="H9" t="s">
        <v>34</v>
      </c>
      <c r="I9" s="2">
        <v>44478</v>
      </c>
      <c r="J9" t="s">
        <v>38</v>
      </c>
      <c r="K9" t="s">
        <v>19</v>
      </c>
      <c r="L9" t="s">
        <v>20</v>
      </c>
      <c r="M9" t="s">
        <v>39</v>
      </c>
      <c r="N9" t="str">
        <f t="shared" si="1"/>
        <v>October</v>
      </c>
    </row>
    <row r="10" spans="1:14" x14ac:dyDescent="0.3">
      <c r="A10" t="s">
        <v>40</v>
      </c>
      <c r="B10" s="1">
        <v>883</v>
      </c>
      <c r="C10" s="1">
        <f t="shared" si="0"/>
        <v>766</v>
      </c>
      <c r="D10">
        <v>117</v>
      </c>
      <c r="E10">
        <v>10</v>
      </c>
      <c r="F10" t="s">
        <v>15</v>
      </c>
      <c r="G10" t="s">
        <v>41</v>
      </c>
      <c r="H10" t="s">
        <v>42</v>
      </c>
      <c r="I10" s="2">
        <v>44883</v>
      </c>
      <c r="J10" t="s">
        <v>43</v>
      </c>
      <c r="K10" t="s">
        <v>44</v>
      </c>
      <c r="L10" t="s">
        <v>45</v>
      </c>
      <c r="M10" t="s">
        <v>46</v>
      </c>
      <c r="N10" t="str">
        <f t="shared" si="1"/>
        <v>November</v>
      </c>
    </row>
    <row r="11" spans="1:14" x14ac:dyDescent="0.3">
      <c r="A11" t="s">
        <v>40</v>
      </c>
      <c r="B11" s="1">
        <v>8127</v>
      </c>
      <c r="C11" s="1">
        <f t="shared" si="0"/>
        <v>4576</v>
      </c>
      <c r="D11">
        <v>3551</v>
      </c>
      <c r="E11">
        <v>16</v>
      </c>
      <c r="F11" t="s">
        <v>47</v>
      </c>
      <c r="G11" t="s">
        <v>48</v>
      </c>
      <c r="H11" t="s">
        <v>49</v>
      </c>
      <c r="I11" s="2">
        <v>44883</v>
      </c>
      <c r="J11" t="s">
        <v>43</v>
      </c>
      <c r="K11" t="s">
        <v>44</v>
      </c>
      <c r="L11" t="s">
        <v>45</v>
      </c>
      <c r="M11" t="s">
        <v>46</v>
      </c>
      <c r="N11" t="str">
        <f t="shared" si="1"/>
        <v>November</v>
      </c>
    </row>
    <row r="12" spans="1:14" x14ac:dyDescent="0.3">
      <c r="A12" t="s">
        <v>50</v>
      </c>
      <c r="B12" s="1">
        <v>2516</v>
      </c>
      <c r="C12" s="1">
        <f t="shared" si="0"/>
        <v>1782</v>
      </c>
      <c r="D12">
        <v>734</v>
      </c>
      <c r="E12">
        <v>19</v>
      </c>
      <c r="F12" t="s">
        <v>47</v>
      </c>
      <c r="G12" t="s">
        <v>51</v>
      </c>
      <c r="H12" t="s">
        <v>17</v>
      </c>
      <c r="I12" s="2">
        <v>45242</v>
      </c>
      <c r="J12" t="s">
        <v>52</v>
      </c>
      <c r="K12" t="s">
        <v>27</v>
      </c>
      <c r="L12" t="s">
        <v>53</v>
      </c>
      <c r="M12" t="s">
        <v>54</v>
      </c>
      <c r="N12" t="str">
        <f t="shared" si="1"/>
        <v>November</v>
      </c>
    </row>
    <row r="13" spans="1:14" x14ac:dyDescent="0.3">
      <c r="A13" t="s">
        <v>55</v>
      </c>
      <c r="B13" s="1">
        <v>2975</v>
      </c>
      <c r="C13" s="1">
        <f t="shared" si="0"/>
        <v>2513</v>
      </c>
      <c r="D13">
        <v>462</v>
      </c>
      <c r="E13">
        <v>14</v>
      </c>
      <c r="F13" t="s">
        <v>32</v>
      </c>
      <c r="G13" t="s">
        <v>33</v>
      </c>
      <c r="H13" t="s">
        <v>49</v>
      </c>
      <c r="I13" s="2">
        <v>43913</v>
      </c>
      <c r="J13" t="s">
        <v>56</v>
      </c>
      <c r="K13" t="s">
        <v>27</v>
      </c>
      <c r="L13" t="s">
        <v>53</v>
      </c>
      <c r="M13" t="s">
        <v>57</v>
      </c>
      <c r="N13" t="str">
        <f t="shared" si="1"/>
        <v>March</v>
      </c>
    </row>
    <row r="14" spans="1:14" x14ac:dyDescent="0.3">
      <c r="A14" t="s">
        <v>58</v>
      </c>
      <c r="B14" s="1">
        <v>6851</v>
      </c>
      <c r="C14" s="1">
        <f t="shared" si="0"/>
        <v>4039</v>
      </c>
      <c r="D14">
        <v>2812</v>
      </c>
      <c r="E14">
        <v>1</v>
      </c>
      <c r="F14" t="s">
        <v>32</v>
      </c>
      <c r="G14" t="s">
        <v>59</v>
      </c>
      <c r="H14" t="s">
        <v>34</v>
      </c>
      <c r="I14" s="2">
        <v>43955</v>
      </c>
      <c r="J14" t="s">
        <v>60</v>
      </c>
      <c r="K14" t="s">
        <v>19</v>
      </c>
      <c r="L14" t="s">
        <v>36</v>
      </c>
      <c r="M14" t="s">
        <v>61</v>
      </c>
      <c r="N14" t="str">
        <f t="shared" si="1"/>
        <v>May</v>
      </c>
    </row>
    <row r="15" spans="1:14" x14ac:dyDescent="0.3">
      <c r="A15" t="s">
        <v>58</v>
      </c>
      <c r="B15" s="1">
        <v>7626</v>
      </c>
      <c r="C15" s="1">
        <f t="shared" si="0"/>
        <v>6580</v>
      </c>
      <c r="D15">
        <v>1046</v>
      </c>
      <c r="E15">
        <v>15</v>
      </c>
      <c r="F15" t="s">
        <v>47</v>
      </c>
      <c r="G15" t="s">
        <v>62</v>
      </c>
      <c r="H15" t="s">
        <v>49</v>
      </c>
      <c r="I15" s="2">
        <v>43955</v>
      </c>
      <c r="J15" t="s">
        <v>60</v>
      </c>
      <c r="K15" t="s">
        <v>19</v>
      </c>
      <c r="L15" t="s">
        <v>36</v>
      </c>
      <c r="M15" t="s">
        <v>61</v>
      </c>
      <c r="N15" t="str">
        <f t="shared" si="1"/>
        <v>May</v>
      </c>
    </row>
    <row r="16" spans="1:14" x14ac:dyDescent="0.3">
      <c r="A16" t="s">
        <v>58</v>
      </c>
      <c r="B16" s="1">
        <v>1023</v>
      </c>
      <c r="C16" s="1">
        <f t="shared" si="0"/>
        <v>945</v>
      </c>
      <c r="D16">
        <v>78</v>
      </c>
      <c r="E16">
        <v>9</v>
      </c>
      <c r="F16" t="s">
        <v>47</v>
      </c>
      <c r="G16" t="s">
        <v>48</v>
      </c>
      <c r="H16" t="s">
        <v>17</v>
      </c>
      <c r="I16" s="2">
        <v>43955</v>
      </c>
      <c r="J16" t="s">
        <v>60</v>
      </c>
      <c r="K16" t="s">
        <v>19</v>
      </c>
      <c r="L16" t="s">
        <v>36</v>
      </c>
      <c r="M16" t="s">
        <v>61</v>
      </c>
      <c r="N16" t="str">
        <f t="shared" si="1"/>
        <v>May</v>
      </c>
    </row>
    <row r="17" spans="1:14" x14ac:dyDescent="0.3">
      <c r="A17" t="s">
        <v>63</v>
      </c>
      <c r="B17" s="1">
        <v>7600</v>
      </c>
      <c r="C17" s="1">
        <f t="shared" si="0"/>
        <v>6502</v>
      </c>
      <c r="D17">
        <v>1098</v>
      </c>
      <c r="E17">
        <v>10</v>
      </c>
      <c r="F17" t="s">
        <v>32</v>
      </c>
      <c r="G17" t="s">
        <v>33</v>
      </c>
      <c r="H17" t="s">
        <v>17</v>
      </c>
      <c r="I17" s="2">
        <v>45239</v>
      </c>
      <c r="J17" t="s">
        <v>64</v>
      </c>
      <c r="K17" t="s">
        <v>23</v>
      </c>
      <c r="L17" t="s">
        <v>65</v>
      </c>
      <c r="M17" t="s">
        <v>54</v>
      </c>
      <c r="N17" t="str">
        <f t="shared" si="1"/>
        <v>November</v>
      </c>
    </row>
    <row r="18" spans="1:14" x14ac:dyDescent="0.3">
      <c r="A18" t="s">
        <v>63</v>
      </c>
      <c r="B18" s="1">
        <v>7501</v>
      </c>
      <c r="C18" s="1">
        <f t="shared" si="0"/>
        <v>7239</v>
      </c>
      <c r="D18">
        <v>262</v>
      </c>
      <c r="E18">
        <v>18</v>
      </c>
      <c r="F18" t="s">
        <v>32</v>
      </c>
      <c r="G18" t="s">
        <v>66</v>
      </c>
      <c r="H18" t="s">
        <v>67</v>
      </c>
      <c r="I18" s="2">
        <v>45239</v>
      </c>
      <c r="J18" t="s">
        <v>64</v>
      </c>
      <c r="K18" t="s">
        <v>23</v>
      </c>
      <c r="L18" t="s">
        <v>65</v>
      </c>
      <c r="M18" t="s">
        <v>54</v>
      </c>
      <c r="N18" t="str">
        <f t="shared" si="1"/>
        <v>November</v>
      </c>
    </row>
    <row r="19" spans="1:14" x14ac:dyDescent="0.3">
      <c r="A19" t="s">
        <v>68</v>
      </c>
      <c r="B19" s="1">
        <v>725</v>
      </c>
      <c r="C19" s="1">
        <f t="shared" si="0"/>
        <v>592</v>
      </c>
      <c r="D19">
        <v>133</v>
      </c>
      <c r="E19">
        <v>6</v>
      </c>
      <c r="F19" t="s">
        <v>32</v>
      </c>
      <c r="G19" t="s">
        <v>66</v>
      </c>
      <c r="H19" t="s">
        <v>49</v>
      </c>
      <c r="I19" s="2">
        <v>45656</v>
      </c>
      <c r="J19" t="s">
        <v>69</v>
      </c>
      <c r="K19" t="s">
        <v>27</v>
      </c>
      <c r="L19" t="s">
        <v>70</v>
      </c>
      <c r="M19" t="s">
        <v>25</v>
      </c>
      <c r="N19" t="str">
        <f t="shared" si="1"/>
        <v>December</v>
      </c>
    </row>
    <row r="20" spans="1:14" x14ac:dyDescent="0.3">
      <c r="A20" t="s">
        <v>68</v>
      </c>
      <c r="B20" s="1">
        <v>7201</v>
      </c>
      <c r="C20" s="1">
        <f t="shared" si="0"/>
        <v>4516</v>
      </c>
      <c r="D20">
        <v>2685</v>
      </c>
      <c r="E20">
        <v>2</v>
      </c>
      <c r="F20" t="s">
        <v>47</v>
      </c>
      <c r="G20" t="s">
        <v>48</v>
      </c>
      <c r="H20" t="s">
        <v>49</v>
      </c>
      <c r="I20" s="2">
        <v>45656</v>
      </c>
      <c r="J20" t="s">
        <v>69</v>
      </c>
      <c r="K20" t="s">
        <v>27</v>
      </c>
      <c r="L20" t="s">
        <v>70</v>
      </c>
      <c r="M20" t="s">
        <v>25</v>
      </c>
      <c r="N20" t="str">
        <f t="shared" si="1"/>
        <v>December</v>
      </c>
    </row>
    <row r="21" spans="1:14" x14ac:dyDescent="0.3">
      <c r="A21" t="s">
        <v>71</v>
      </c>
      <c r="B21" s="1">
        <v>1629</v>
      </c>
      <c r="C21" s="1">
        <f t="shared" si="0"/>
        <v>1364</v>
      </c>
      <c r="D21">
        <v>265</v>
      </c>
      <c r="E21">
        <v>1</v>
      </c>
      <c r="F21" t="s">
        <v>32</v>
      </c>
      <c r="G21" t="s">
        <v>66</v>
      </c>
      <c r="H21" t="s">
        <v>17</v>
      </c>
      <c r="I21" s="2">
        <v>45699</v>
      </c>
      <c r="J21" t="s">
        <v>72</v>
      </c>
      <c r="K21" t="s">
        <v>73</v>
      </c>
      <c r="L21" t="s">
        <v>74</v>
      </c>
      <c r="M21" t="s">
        <v>75</v>
      </c>
      <c r="N21" t="str">
        <f t="shared" si="1"/>
        <v>February</v>
      </c>
    </row>
    <row r="22" spans="1:14" x14ac:dyDescent="0.3">
      <c r="A22" t="s">
        <v>71</v>
      </c>
      <c r="B22" s="1">
        <v>1629</v>
      </c>
      <c r="C22" s="1">
        <f t="shared" si="0"/>
        <v>1364</v>
      </c>
      <c r="D22">
        <v>265</v>
      </c>
      <c r="E22">
        <v>1</v>
      </c>
      <c r="F22" t="s">
        <v>32</v>
      </c>
      <c r="G22" t="s">
        <v>66</v>
      </c>
      <c r="H22" t="s">
        <v>17</v>
      </c>
      <c r="I22" s="2">
        <v>45314</v>
      </c>
      <c r="J22" t="s">
        <v>76</v>
      </c>
      <c r="K22" t="s">
        <v>44</v>
      </c>
      <c r="L22" t="s">
        <v>77</v>
      </c>
      <c r="M22" t="s">
        <v>78</v>
      </c>
      <c r="N22" t="str">
        <f t="shared" si="1"/>
        <v>January</v>
      </c>
    </row>
    <row r="23" spans="1:14" x14ac:dyDescent="0.3">
      <c r="A23" t="s">
        <v>79</v>
      </c>
      <c r="B23" s="1">
        <v>8971</v>
      </c>
      <c r="C23" s="1">
        <f t="shared" si="0"/>
        <v>6000</v>
      </c>
      <c r="D23">
        <v>2971</v>
      </c>
      <c r="E23">
        <v>19</v>
      </c>
      <c r="F23" t="s">
        <v>32</v>
      </c>
      <c r="G23" t="s">
        <v>80</v>
      </c>
      <c r="H23" t="s">
        <v>34</v>
      </c>
      <c r="I23" s="2">
        <v>44163</v>
      </c>
      <c r="J23" t="s">
        <v>81</v>
      </c>
      <c r="K23" t="s">
        <v>44</v>
      </c>
      <c r="L23" t="s">
        <v>77</v>
      </c>
      <c r="M23" t="s">
        <v>82</v>
      </c>
      <c r="N23" t="str">
        <f t="shared" si="1"/>
        <v>November</v>
      </c>
    </row>
    <row r="24" spans="1:14" x14ac:dyDescent="0.3">
      <c r="A24" t="s">
        <v>79</v>
      </c>
      <c r="B24" s="1">
        <v>2939</v>
      </c>
      <c r="C24" s="1">
        <f t="shared" si="0"/>
        <v>2045</v>
      </c>
      <c r="D24">
        <v>894</v>
      </c>
      <c r="E24">
        <v>20</v>
      </c>
      <c r="F24" t="s">
        <v>32</v>
      </c>
      <c r="G24" t="s">
        <v>80</v>
      </c>
      <c r="H24" t="s">
        <v>67</v>
      </c>
      <c r="I24" s="2">
        <v>44163</v>
      </c>
      <c r="J24" t="s">
        <v>81</v>
      </c>
      <c r="K24" t="s">
        <v>44</v>
      </c>
      <c r="L24" t="s">
        <v>77</v>
      </c>
      <c r="M24" t="s">
        <v>82</v>
      </c>
      <c r="N24" t="str">
        <f t="shared" si="1"/>
        <v>November</v>
      </c>
    </row>
    <row r="25" spans="1:14" x14ac:dyDescent="0.3">
      <c r="A25" t="s">
        <v>83</v>
      </c>
      <c r="B25" s="1">
        <v>9380</v>
      </c>
      <c r="C25" s="1">
        <f t="shared" si="0"/>
        <v>8966</v>
      </c>
      <c r="D25">
        <v>414</v>
      </c>
      <c r="E25">
        <v>11</v>
      </c>
      <c r="F25" t="s">
        <v>15</v>
      </c>
      <c r="G25" t="s">
        <v>84</v>
      </c>
      <c r="H25" t="s">
        <v>17</v>
      </c>
      <c r="I25" s="2">
        <v>45442</v>
      </c>
      <c r="J25" t="s">
        <v>85</v>
      </c>
      <c r="K25" t="s">
        <v>27</v>
      </c>
      <c r="L25" t="s">
        <v>70</v>
      </c>
      <c r="M25" t="s">
        <v>37</v>
      </c>
      <c r="N25" t="str">
        <f t="shared" si="1"/>
        <v>May</v>
      </c>
    </row>
    <row r="26" spans="1:14" x14ac:dyDescent="0.3">
      <c r="A26" t="s">
        <v>83</v>
      </c>
      <c r="B26" s="1">
        <v>8558</v>
      </c>
      <c r="C26" s="1">
        <f t="shared" si="0"/>
        <v>6914</v>
      </c>
      <c r="D26">
        <v>1644</v>
      </c>
      <c r="E26">
        <v>18</v>
      </c>
      <c r="F26" t="s">
        <v>32</v>
      </c>
      <c r="G26" t="s">
        <v>80</v>
      </c>
      <c r="H26" t="s">
        <v>49</v>
      </c>
      <c r="I26" s="2">
        <v>45442</v>
      </c>
      <c r="J26" t="s">
        <v>85</v>
      </c>
      <c r="K26" t="s">
        <v>27</v>
      </c>
      <c r="L26" t="s">
        <v>70</v>
      </c>
      <c r="M26" t="s">
        <v>37</v>
      </c>
      <c r="N26" t="str">
        <f t="shared" si="1"/>
        <v>May</v>
      </c>
    </row>
    <row r="27" spans="1:14" x14ac:dyDescent="0.3">
      <c r="A27" t="s">
        <v>83</v>
      </c>
      <c r="B27" s="1">
        <v>4080</v>
      </c>
      <c r="C27" s="1">
        <f t="shared" si="0"/>
        <v>4008</v>
      </c>
      <c r="D27">
        <v>72</v>
      </c>
      <c r="E27">
        <v>17</v>
      </c>
      <c r="F27" t="s">
        <v>32</v>
      </c>
      <c r="G27" t="s">
        <v>66</v>
      </c>
      <c r="H27" t="s">
        <v>67</v>
      </c>
      <c r="I27" s="2">
        <v>45442</v>
      </c>
      <c r="J27" t="s">
        <v>85</v>
      </c>
      <c r="K27" t="s">
        <v>27</v>
      </c>
      <c r="L27" t="s">
        <v>70</v>
      </c>
      <c r="M27" t="s">
        <v>37</v>
      </c>
      <c r="N27" t="str">
        <f t="shared" si="1"/>
        <v>May</v>
      </c>
    </row>
    <row r="28" spans="1:14" x14ac:dyDescent="0.3">
      <c r="A28" t="s">
        <v>86</v>
      </c>
      <c r="B28" s="1">
        <v>4206</v>
      </c>
      <c r="C28" s="1">
        <f t="shared" si="0"/>
        <v>2385</v>
      </c>
      <c r="D28">
        <v>1821</v>
      </c>
      <c r="E28">
        <v>17</v>
      </c>
      <c r="F28" t="s">
        <v>15</v>
      </c>
      <c r="G28" t="s">
        <v>16</v>
      </c>
      <c r="H28" t="s">
        <v>42</v>
      </c>
      <c r="I28" s="2">
        <v>44584</v>
      </c>
      <c r="J28" t="s">
        <v>87</v>
      </c>
      <c r="K28" t="s">
        <v>73</v>
      </c>
      <c r="L28" t="s">
        <v>88</v>
      </c>
      <c r="M28" t="s">
        <v>89</v>
      </c>
      <c r="N28" t="str">
        <f t="shared" si="1"/>
        <v>January</v>
      </c>
    </row>
    <row r="29" spans="1:14" x14ac:dyDescent="0.3">
      <c r="A29" t="s">
        <v>90</v>
      </c>
      <c r="B29" s="1">
        <v>5219</v>
      </c>
      <c r="C29" s="1">
        <f t="shared" si="0"/>
        <v>4039</v>
      </c>
      <c r="D29">
        <v>1180</v>
      </c>
      <c r="E29">
        <v>20</v>
      </c>
      <c r="F29" t="s">
        <v>32</v>
      </c>
      <c r="G29" t="s">
        <v>80</v>
      </c>
      <c r="H29" t="s">
        <v>67</v>
      </c>
      <c r="I29" s="2">
        <v>44547</v>
      </c>
      <c r="J29" t="s">
        <v>91</v>
      </c>
      <c r="K29" t="s">
        <v>27</v>
      </c>
      <c r="L29" t="s">
        <v>53</v>
      </c>
      <c r="M29" t="s">
        <v>92</v>
      </c>
      <c r="N29" t="str">
        <f t="shared" si="1"/>
        <v>December</v>
      </c>
    </row>
    <row r="30" spans="1:14" x14ac:dyDescent="0.3">
      <c r="A30" t="s">
        <v>90</v>
      </c>
      <c r="B30" s="1">
        <v>5219</v>
      </c>
      <c r="C30" s="1">
        <f t="shared" si="0"/>
        <v>4039</v>
      </c>
      <c r="D30">
        <v>1180</v>
      </c>
      <c r="E30">
        <v>20</v>
      </c>
      <c r="F30" t="s">
        <v>32</v>
      </c>
      <c r="G30" t="s">
        <v>80</v>
      </c>
      <c r="H30" t="s">
        <v>67</v>
      </c>
      <c r="I30" s="2">
        <v>44960</v>
      </c>
      <c r="J30" t="s">
        <v>93</v>
      </c>
      <c r="K30" t="s">
        <v>44</v>
      </c>
      <c r="L30" t="s">
        <v>94</v>
      </c>
      <c r="M30" t="s">
        <v>95</v>
      </c>
      <c r="N30" t="str">
        <f t="shared" si="1"/>
        <v>February</v>
      </c>
    </row>
    <row r="31" spans="1:14" x14ac:dyDescent="0.3">
      <c r="A31" t="s">
        <v>96</v>
      </c>
      <c r="B31" s="1">
        <v>3686</v>
      </c>
      <c r="C31" s="1">
        <f t="shared" si="0"/>
        <v>2926</v>
      </c>
      <c r="D31">
        <v>760</v>
      </c>
      <c r="E31">
        <v>20</v>
      </c>
      <c r="F31" t="s">
        <v>32</v>
      </c>
      <c r="G31" t="s">
        <v>33</v>
      </c>
      <c r="H31" t="s">
        <v>34</v>
      </c>
      <c r="I31" s="2">
        <v>44864</v>
      </c>
      <c r="J31" t="s">
        <v>97</v>
      </c>
      <c r="K31" t="s">
        <v>44</v>
      </c>
      <c r="L31" t="s">
        <v>94</v>
      </c>
      <c r="M31" t="s">
        <v>98</v>
      </c>
      <c r="N31" t="str">
        <f t="shared" si="1"/>
        <v>October</v>
      </c>
    </row>
    <row r="32" spans="1:14" x14ac:dyDescent="0.3">
      <c r="A32" t="s">
        <v>96</v>
      </c>
      <c r="B32" s="1">
        <v>3686</v>
      </c>
      <c r="C32" s="1">
        <f t="shared" si="0"/>
        <v>2926</v>
      </c>
      <c r="D32">
        <v>760</v>
      </c>
      <c r="E32">
        <v>20</v>
      </c>
      <c r="F32" t="s">
        <v>32</v>
      </c>
      <c r="G32" t="s">
        <v>33</v>
      </c>
      <c r="H32" t="s">
        <v>34</v>
      </c>
      <c r="I32" s="2">
        <v>44576</v>
      </c>
      <c r="J32" t="s">
        <v>99</v>
      </c>
      <c r="K32" t="s">
        <v>100</v>
      </c>
      <c r="L32" t="s">
        <v>101</v>
      </c>
      <c r="M32" t="s">
        <v>89</v>
      </c>
      <c r="N32" t="str">
        <f t="shared" si="1"/>
        <v>January</v>
      </c>
    </row>
    <row r="33" spans="1:14" x14ac:dyDescent="0.3">
      <c r="A33" t="s">
        <v>102</v>
      </c>
      <c r="B33" s="1">
        <v>6045</v>
      </c>
      <c r="C33" s="1">
        <f t="shared" si="0"/>
        <v>4439</v>
      </c>
      <c r="D33">
        <v>1606</v>
      </c>
      <c r="E33">
        <v>4</v>
      </c>
      <c r="F33" t="s">
        <v>32</v>
      </c>
      <c r="G33" t="s">
        <v>66</v>
      </c>
      <c r="H33" t="s">
        <v>67</v>
      </c>
      <c r="I33" s="2">
        <v>45274</v>
      </c>
      <c r="J33" t="s">
        <v>103</v>
      </c>
      <c r="K33" t="s">
        <v>19</v>
      </c>
      <c r="L33" t="s">
        <v>36</v>
      </c>
      <c r="M33" t="s">
        <v>104</v>
      </c>
      <c r="N33" t="str">
        <f t="shared" si="1"/>
        <v>December</v>
      </c>
    </row>
    <row r="34" spans="1:14" x14ac:dyDescent="0.3">
      <c r="A34" t="s">
        <v>102</v>
      </c>
      <c r="B34" s="1">
        <v>9337</v>
      </c>
      <c r="C34" s="1">
        <f t="shared" si="0"/>
        <v>8783</v>
      </c>
      <c r="D34">
        <v>554</v>
      </c>
      <c r="E34">
        <v>11</v>
      </c>
      <c r="F34" t="s">
        <v>32</v>
      </c>
      <c r="G34" t="s">
        <v>33</v>
      </c>
      <c r="H34" t="s">
        <v>67</v>
      </c>
      <c r="I34" s="2">
        <v>45274</v>
      </c>
      <c r="J34" t="s">
        <v>103</v>
      </c>
      <c r="K34" t="s">
        <v>19</v>
      </c>
      <c r="L34" t="s">
        <v>36</v>
      </c>
      <c r="M34" t="s">
        <v>104</v>
      </c>
      <c r="N34" t="str">
        <f t="shared" si="1"/>
        <v>December</v>
      </c>
    </row>
    <row r="35" spans="1:14" x14ac:dyDescent="0.3">
      <c r="A35" t="s">
        <v>105</v>
      </c>
      <c r="B35" s="1">
        <v>4051</v>
      </c>
      <c r="C35" s="1">
        <f t="shared" si="0"/>
        <v>2203</v>
      </c>
      <c r="D35">
        <v>1848</v>
      </c>
      <c r="E35">
        <v>12</v>
      </c>
      <c r="F35" t="s">
        <v>15</v>
      </c>
      <c r="G35" t="s">
        <v>84</v>
      </c>
      <c r="H35" t="s">
        <v>49</v>
      </c>
      <c r="I35" s="2">
        <v>45110</v>
      </c>
      <c r="J35" t="s">
        <v>106</v>
      </c>
      <c r="K35" t="s">
        <v>44</v>
      </c>
      <c r="L35" t="s">
        <v>77</v>
      </c>
      <c r="M35" t="s">
        <v>107</v>
      </c>
      <c r="N35" t="str">
        <f t="shared" si="1"/>
        <v>July</v>
      </c>
    </row>
    <row r="36" spans="1:14" x14ac:dyDescent="0.3">
      <c r="A36" t="s">
        <v>105</v>
      </c>
      <c r="B36" s="1">
        <v>4051</v>
      </c>
      <c r="C36" s="1">
        <f t="shared" si="0"/>
        <v>2203</v>
      </c>
      <c r="D36">
        <v>1848</v>
      </c>
      <c r="E36">
        <v>12</v>
      </c>
      <c r="F36" t="s">
        <v>15</v>
      </c>
      <c r="G36" t="s">
        <v>84</v>
      </c>
      <c r="H36" t="s">
        <v>49</v>
      </c>
      <c r="I36" s="2">
        <v>44324</v>
      </c>
      <c r="J36" t="s">
        <v>108</v>
      </c>
      <c r="K36" t="s">
        <v>100</v>
      </c>
      <c r="L36" t="s">
        <v>109</v>
      </c>
      <c r="M36" t="s">
        <v>110</v>
      </c>
      <c r="N36" t="str">
        <f t="shared" si="1"/>
        <v>May</v>
      </c>
    </row>
    <row r="37" spans="1:14" x14ac:dyDescent="0.3">
      <c r="A37" t="s">
        <v>105</v>
      </c>
      <c r="B37" s="1">
        <v>5011</v>
      </c>
      <c r="C37" s="1">
        <f t="shared" si="0"/>
        <v>4145</v>
      </c>
      <c r="D37">
        <v>866</v>
      </c>
      <c r="E37">
        <v>11</v>
      </c>
      <c r="F37" t="s">
        <v>47</v>
      </c>
      <c r="G37" t="s">
        <v>111</v>
      </c>
      <c r="H37" t="s">
        <v>49</v>
      </c>
      <c r="I37" s="2">
        <v>45110</v>
      </c>
      <c r="J37" t="s">
        <v>106</v>
      </c>
      <c r="K37" t="s">
        <v>44</v>
      </c>
      <c r="L37" t="s">
        <v>77</v>
      </c>
      <c r="M37" t="s">
        <v>107</v>
      </c>
      <c r="N37" t="str">
        <f t="shared" si="1"/>
        <v>July</v>
      </c>
    </row>
    <row r="38" spans="1:14" x14ac:dyDescent="0.3">
      <c r="A38" t="s">
        <v>105</v>
      </c>
      <c r="B38" s="1">
        <v>5011</v>
      </c>
      <c r="C38" s="1">
        <f t="shared" si="0"/>
        <v>4145</v>
      </c>
      <c r="D38">
        <v>866</v>
      </c>
      <c r="E38">
        <v>11</v>
      </c>
      <c r="F38" t="s">
        <v>47</v>
      </c>
      <c r="G38" t="s">
        <v>111</v>
      </c>
      <c r="H38" t="s">
        <v>49</v>
      </c>
      <c r="I38" s="2">
        <v>44324</v>
      </c>
      <c r="J38" t="s">
        <v>108</v>
      </c>
      <c r="K38" t="s">
        <v>100</v>
      </c>
      <c r="L38" t="s">
        <v>109</v>
      </c>
      <c r="M38" t="s">
        <v>110</v>
      </c>
      <c r="N38" t="str">
        <f t="shared" si="1"/>
        <v>May</v>
      </c>
    </row>
    <row r="39" spans="1:14" x14ac:dyDescent="0.3">
      <c r="A39" t="s">
        <v>112</v>
      </c>
      <c r="B39" s="1">
        <v>3958</v>
      </c>
      <c r="C39" s="1">
        <f t="shared" si="0"/>
        <v>3328</v>
      </c>
      <c r="D39">
        <v>630</v>
      </c>
      <c r="E39">
        <v>15</v>
      </c>
      <c r="F39" t="s">
        <v>47</v>
      </c>
      <c r="G39" t="s">
        <v>62</v>
      </c>
      <c r="H39" t="s">
        <v>42</v>
      </c>
      <c r="I39" s="2">
        <v>44841</v>
      </c>
      <c r="J39" t="s">
        <v>113</v>
      </c>
      <c r="K39" t="s">
        <v>19</v>
      </c>
      <c r="L39" t="s">
        <v>36</v>
      </c>
      <c r="M39" t="s">
        <v>98</v>
      </c>
      <c r="N39" t="str">
        <f t="shared" si="1"/>
        <v>October</v>
      </c>
    </row>
    <row r="40" spans="1:14" x14ac:dyDescent="0.3">
      <c r="A40" t="s">
        <v>112</v>
      </c>
      <c r="B40" s="1">
        <v>3132</v>
      </c>
      <c r="C40" s="1">
        <f t="shared" si="0"/>
        <v>2169</v>
      </c>
      <c r="D40">
        <v>963</v>
      </c>
      <c r="E40">
        <v>1</v>
      </c>
      <c r="F40" t="s">
        <v>47</v>
      </c>
      <c r="G40" t="s">
        <v>48</v>
      </c>
      <c r="H40" t="s">
        <v>34</v>
      </c>
      <c r="I40" s="2">
        <v>44841</v>
      </c>
      <c r="J40" t="s">
        <v>113</v>
      </c>
      <c r="K40" t="s">
        <v>19</v>
      </c>
      <c r="L40" t="s">
        <v>36</v>
      </c>
      <c r="M40" t="s">
        <v>98</v>
      </c>
      <c r="N40" t="str">
        <f t="shared" si="1"/>
        <v>October</v>
      </c>
    </row>
    <row r="41" spans="1:14" x14ac:dyDescent="0.3">
      <c r="A41" t="s">
        <v>114</v>
      </c>
      <c r="B41" s="1">
        <v>7784</v>
      </c>
      <c r="C41" s="1">
        <f t="shared" si="0"/>
        <v>4847</v>
      </c>
      <c r="D41">
        <v>2937</v>
      </c>
      <c r="E41">
        <v>12</v>
      </c>
      <c r="F41" t="s">
        <v>32</v>
      </c>
      <c r="G41" t="s">
        <v>59</v>
      </c>
      <c r="H41" t="s">
        <v>17</v>
      </c>
      <c r="I41" s="2">
        <v>45510</v>
      </c>
      <c r="J41" t="s">
        <v>115</v>
      </c>
      <c r="K41" t="s">
        <v>44</v>
      </c>
      <c r="L41" t="s">
        <v>94</v>
      </c>
      <c r="M41" t="s">
        <v>116</v>
      </c>
      <c r="N41" t="str">
        <f t="shared" si="1"/>
        <v>August</v>
      </c>
    </row>
    <row r="42" spans="1:14" x14ac:dyDescent="0.3">
      <c r="A42" t="s">
        <v>114</v>
      </c>
      <c r="B42" s="1">
        <v>5591</v>
      </c>
      <c r="C42" s="1">
        <f t="shared" si="0"/>
        <v>3895</v>
      </c>
      <c r="D42">
        <v>1696</v>
      </c>
      <c r="E42">
        <v>3</v>
      </c>
      <c r="F42" t="s">
        <v>32</v>
      </c>
      <c r="G42" t="s">
        <v>33</v>
      </c>
      <c r="H42" t="s">
        <v>67</v>
      </c>
      <c r="I42" s="2">
        <v>45510</v>
      </c>
      <c r="J42" t="s">
        <v>115</v>
      </c>
      <c r="K42" t="s">
        <v>44</v>
      </c>
      <c r="L42" t="s">
        <v>94</v>
      </c>
      <c r="M42" t="s">
        <v>116</v>
      </c>
      <c r="N42" t="str">
        <f t="shared" si="1"/>
        <v>August</v>
      </c>
    </row>
    <row r="43" spans="1:14" x14ac:dyDescent="0.3">
      <c r="A43" t="s">
        <v>114</v>
      </c>
      <c r="B43" s="1">
        <v>5122</v>
      </c>
      <c r="C43" s="1">
        <f t="shared" si="0"/>
        <v>2709</v>
      </c>
      <c r="D43">
        <v>2413</v>
      </c>
      <c r="E43">
        <v>12</v>
      </c>
      <c r="F43" t="s">
        <v>15</v>
      </c>
      <c r="G43" t="s">
        <v>16</v>
      </c>
      <c r="H43" t="s">
        <v>67</v>
      </c>
      <c r="I43" s="2">
        <v>45510</v>
      </c>
      <c r="J43" t="s">
        <v>115</v>
      </c>
      <c r="K43" t="s">
        <v>44</v>
      </c>
      <c r="L43" t="s">
        <v>94</v>
      </c>
      <c r="M43" t="s">
        <v>116</v>
      </c>
      <c r="N43" t="str">
        <f t="shared" si="1"/>
        <v>August</v>
      </c>
    </row>
    <row r="44" spans="1:14" x14ac:dyDescent="0.3">
      <c r="A44" t="s">
        <v>117</v>
      </c>
      <c r="B44" s="1">
        <v>8293</v>
      </c>
      <c r="C44" s="1">
        <f t="shared" si="0"/>
        <v>5661</v>
      </c>
      <c r="D44">
        <v>2632</v>
      </c>
      <c r="E44">
        <v>8</v>
      </c>
      <c r="F44" t="s">
        <v>32</v>
      </c>
      <c r="G44" t="s">
        <v>80</v>
      </c>
      <c r="H44" t="s">
        <v>67</v>
      </c>
      <c r="I44" s="2">
        <v>44566</v>
      </c>
      <c r="J44" t="s">
        <v>118</v>
      </c>
      <c r="K44" t="s">
        <v>100</v>
      </c>
      <c r="L44" t="s">
        <v>119</v>
      </c>
      <c r="M44" t="s">
        <v>89</v>
      </c>
      <c r="N44" t="str">
        <f t="shared" si="1"/>
        <v>January</v>
      </c>
    </row>
    <row r="45" spans="1:14" x14ac:dyDescent="0.3">
      <c r="A45" t="s">
        <v>117</v>
      </c>
      <c r="B45" s="1">
        <v>8293</v>
      </c>
      <c r="C45" s="1">
        <f t="shared" si="0"/>
        <v>5661</v>
      </c>
      <c r="D45">
        <v>2632</v>
      </c>
      <c r="E45">
        <v>8</v>
      </c>
      <c r="F45" t="s">
        <v>32</v>
      </c>
      <c r="G45" t="s">
        <v>80</v>
      </c>
      <c r="H45" t="s">
        <v>67</v>
      </c>
      <c r="I45" s="2">
        <v>44121</v>
      </c>
      <c r="J45" t="s">
        <v>120</v>
      </c>
      <c r="K45" t="s">
        <v>27</v>
      </c>
      <c r="L45" t="s">
        <v>70</v>
      </c>
      <c r="M45" t="s">
        <v>121</v>
      </c>
      <c r="N45" t="str">
        <f t="shared" si="1"/>
        <v>October</v>
      </c>
    </row>
    <row r="46" spans="1:14" x14ac:dyDescent="0.3">
      <c r="A46" t="s">
        <v>117</v>
      </c>
      <c r="B46" s="1">
        <v>8293</v>
      </c>
      <c r="C46" s="1">
        <f t="shared" si="0"/>
        <v>5661</v>
      </c>
      <c r="D46">
        <v>2632</v>
      </c>
      <c r="E46">
        <v>8</v>
      </c>
      <c r="F46" t="s">
        <v>32</v>
      </c>
      <c r="G46" t="s">
        <v>80</v>
      </c>
      <c r="H46" t="s">
        <v>67</v>
      </c>
      <c r="I46" s="2">
        <v>45159</v>
      </c>
      <c r="J46" t="s">
        <v>122</v>
      </c>
      <c r="K46" t="s">
        <v>44</v>
      </c>
      <c r="L46" t="s">
        <v>45</v>
      </c>
      <c r="M46" t="s">
        <v>123</v>
      </c>
      <c r="N46" t="str">
        <f t="shared" si="1"/>
        <v>August</v>
      </c>
    </row>
    <row r="47" spans="1:14" x14ac:dyDescent="0.3">
      <c r="A47" t="s">
        <v>117</v>
      </c>
      <c r="B47" s="1">
        <v>2863</v>
      </c>
      <c r="C47" s="1">
        <f t="shared" si="0"/>
        <v>2658</v>
      </c>
      <c r="D47">
        <v>205</v>
      </c>
      <c r="E47">
        <v>17</v>
      </c>
      <c r="F47" t="s">
        <v>15</v>
      </c>
      <c r="G47" t="s">
        <v>84</v>
      </c>
      <c r="H47" t="s">
        <v>17</v>
      </c>
      <c r="I47" s="2">
        <v>44566</v>
      </c>
      <c r="J47" t="s">
        <v>118</v>
      </c>
      <c r="K47" t="s">
        <v>100</v>
      </c>
      <c r="L47" t="s">
        <v>119</v>
      </c>
      <c r="M47" t="s">
        <v>89</v>
      </c>
      <c r="N47" t="str">
        <f t="shared" si="1"/>
        <v>January</v>
      </c>
    </row>
    <row r="48" spans="1:14" x14ac:dyDescent="0.3">
      <c r="A48" t="s">
        <v>117</v>
      </c>
      <c r="B48" s="1">
        <v>2863</v>
      </c>
      <c r="C48" s="1">
        <f t="shared" si="0"/>
        <v>2658</v>
      </c>
      <c r="D48">
        <v>205</v>
      </c>
      <c r="E48">
        <v>17</v>
      </c>
      <c r="F48" t="s">
        <v>15</v>
      </c>
      <c r="G48" t="s">
        <v>84</v>
      </c>
      <c r="H48" t="s">
        <v>17</v>
      </c>
      <c r="I48" s="2">
        <v>44121</v>
      </c>
      <c r="J48" t="s">
        <v>120</v>
      </c>
      <c r="K48" t="s">
        <v>27</v>
      </c>
      <c r="L48" t="s">
        <v>70</v>
      </c>
      <c r="M48" t="s">
        <v>121</v>
      </c>
      <c r="N48" t="str">
        <f t="shared" si="1"/>
        <v>October</v>
      </c>
    </row>
    <row r="49" spans="1:14" x14ac:dyDescent="0.3">
      <c r="A49" t="s">
        <v>117</v>
      </c>
      <c r="B49" s="1">
        <v>2863</v>
      </c>
      <c r="C49" s="1">
        <f t="shared" si="0"/>
        <v>2658</v>
      </c>
      <c r="D49">
        <v>205</v>
      </c>
      <c r="E49">
        <v>17</v>
      </c>
      <c r="F49" t="s">
        <v>15</v>
      </c>
      <c r="G49" t="s">
        <v>84</v>
      </c>
      <c r="H49" t="s">
        <v>17</v>
      </c>
      <c r="I49" s="2">
        <v>45159</v>
      </c>
      <c r="J49" t="s">
        <v>122</v>
      </c>
      <c r="K49" t="s">
        <v>44</v>
      </c>
      <c r="L49" t="s">
        <v>45</v>
      </c>
      <c r="M49" t="s">
        <v>123</v>
      </c>
      <c r="N49" t="str">
        <f t="shared" si="1"/>
        <v>August</v>
      </c>
    </row>
    <row r="50" spans="1:14" x14ac:dyDescent="0.3">
      <c r="A50" t="s">
        <v>124</v>
      </c>
      <c r="B50" s="1">
        <v>3090</v>
      </c>
      <c r="C50" s="1">
        <f t="shared" si="0"/>
        <v>2517</v>
      </c>
      <c r="D50">
        <v>573</v>
      </c>
      <c r="E50">
        <v>6</v>
      </c>
      <c r="F50" t="s">
        <v>47</v>
      </c>
      <c r="G50" t="s">
        <v>48</v>
      </c>
      <c r="H50" t="s">
        <v>42</v>
      </c>
      <c r="I50" s="2">
        <v>45653</v>
      </c>
      <c r="J50" t="s">
        <v>125</v>
      </c>
      <c r="K50" t="s">
        <v>44</v>
      </c>
      <c r="L50" t="s">
        <v>77</v>
      </c>
      <c r="M50" t="s">
        <v>25</v>
      </c>
      <c r="N50" t="str">
        <f t="shared" si="1"/>
        <v>December</v>
      </c>
    </row>
    <row r="51" spans="1:14" x14ac:dyDescent="0.3">
      <c r="A51" t="s">
        <v>124</v>
      </c>
      <c r="B51" s="1">
        <v>3090</v>
      </c>
      <c r="C51" s="1">
        <f t="shared" si="0"/>
        <v>2517</v>
      </c>
      <c r="D51">
        <v>573</v>
      </c>
      <c r="E51">
        <v>6</v>
      </c>
      <c r="F51" t="s">
        <v>47</v>
      </c>
      <c r="G51" t="s">
        <v>48</v>
      </c>
      <c r="H51" t="s">
        <v>42</v>
      </c>
      <c r="I51" s="2">
        <v>44365</v>
      </c>
      <c r="J51" t="s">
        <v>126</v>
      </c>
      <c r="K51" t="s">
        <v>100</v>
      </c>
      <c r="L51" t="s">
        <v>109</v>
      </c>
      <c r="M51" t="s">
        <v>127</v>
      </c>
      <c r="N51" t="str">
        <f t="shared" si="1"/>
        <v>June</v>
      </c>
    </row>
    <row r="52" spans="1:14" x14ac:dyDescent="0.3">
      <c r="A52" t="s">
        <v>124</v>
      </c>
      <c r="B52" s="1">
        <v>3090</v>
      </c>
      <c r="C52" s="1">
        <f t="shared" si="0"/>
        <v>2517</v>
      </c>
      <c r="D52">
        <v>573</v>
      </c>
      <c r="E52">
        <v>6</v>
      </c>
      <c r="F52" t="s">
        <v>47</v>
      </c>
      <c r="G52" t="s">
        <v>48</v>
      </c>
      <c r="H52" t="s">
        <v>42</v>
      </c>
      <c r="I52" s="2">
        <v>45073</v>
      </c>
      <c r="J52" t="s">
        <v>128</v>
      </c>
      <c r="K52" t="s">
        <v>73</v>
      </c>
      <c r="L52" t="s">
        <v>88</v>
      </c>
      <c r="M52" t="s">
        <v>129</v>
      </c>
      <c r="N52" t="str">
        <f t="shared" si="1"/>
        <v>May</v>
      </c>
    </row>
    <row r="53" spans="1:14" x14ac:dyDescent="0.3">
      <c r="A53" t="s">
        <v>124</v>
      </c>
      <c r="B53" s="1">
        <v>3090</v>
      </c>
      <c r="C53" s="1">
        <f t="shared" si="0"/>
        <v>2517</v>
      </c>
      <c r="D53">
        <v>573</v>
      </c>
      <c r="E53">
        <v>6</v>
      </c>
      <c r="F53" t="s">
        <v>47</v>
      </c>
      <c r="G53" t="s">
        <v>48</v>
      </c>
      <c r="H53" t="s">
        <v>42</v>
      </c>
      <c r="I53" s="2">
        <v>44481</v>
      </c>
      <c r="J53" t="s">
        <v>130</v>
      </c>
      <c r="K53" t="s">
        <v>73</v>
      </c>
      <c r="L53" t="s">
        <v>74</v>
      </c>
      <c r="M53" t="s">
        <v>39</v>
      </c>
      <c r="N53" t="str">
        <f t="shared" si="1"/>
        <v>October</v>
      </c>
    </row>
    <row r="54" spans="1:14" x14ac:dyDescent="0.3">
      <c r="A54" t="s">
        <v>124</v>
      </c>
      <c r="B54" s="1">
        <v>9683</v>
      </c>
      <c r="C54" s="1">
        <f t="shared" si="0"/>
        <v>8669</v>
      </c>
      <c r="D54">
        <v>1014</v>
      </c>
      <c r="E54">
        <v>5</v>
      </c>
      <c r="F54" t="s">
        <v>15</v>
      </c>
      <c r="G54" t="s">
        <v>30</v>
      </c>
      <c r="H54" t="s">
        <v>17</v>
      </c>
      <c r="I54" s="2">
        <v>45653</v>
      </c>
      <c r="J54" t="s">
        <v>125</v>
      </c>
      <c r="K54" t="s">
        <v>44</v>
      </c>
      <c r="L54" t="s">
        <v>77</v>
      </c>
      <c r="M54" t="s">
        <v>25</v>
      </c>
      <c r="N54" t="str">
        <f t="shared" si="1"/>
        <v>December</v>
      </c>
    </row>
    <row r="55" spans="1:14" x14ac:dyDescent="0.3">
      <c r="A55" t="s">
        <v>124</v>
      </c>
      <c r="B55" s="1">
        <v>9683</v>
      </c>
      <c r="C55" s="1">
        <f t="shared" si="0"/>
        <v>8669</v>
      </c>
      <c r="D55">
        <v>1014</v>
      </c>
      <c r="E55">
        <v>5</v>
      </c>
      <c r="F55" t="s">
        <v>15</v>
      </c>
      <c r="G55" t="s">
        <v>30</v>
      </c>
      <c r="H55" t="s">
        <v>17</v>
      </c>
      <c r="I55" s="2">
        <v>44365</v>
      </c>
      <c r="J55" t="s">
        <v>126</v>
      </c>
      <c r="K55" t="s">
        <v>100</v>
      </c>
      <c r="L55" t="s">
        <v>109</v>
      </c>
      <c r="M55" t="s">
        <v>127</v>
      </c>
      <c r="N55" t="str">
        <f t="shared" si="1"/>
        <v>June</v>
      </c>
    </row>
    <row r="56" spans="1:14" x14ac:dyDescent="0.3">
      <c r="A56" t="s">
        <v>124</v>
      </c>
      <c r="B56" s="1">
        <v>9683</v>
      </c>
      <c r="C56" s="1">
        <f t="shared" si="0"/>
        <v>8669</v>
      </c>
      <c r="D56">
        <v>1014</v>
      </c>
      <c r="E56">
        <v>5</v>
      </c>
      <c r="F56" t="s">
        <v>15</v>
      </c>
      <c r="G56" t="s">
        <v>30</v>
      </c>
      <c r="H56" t="s">
        <v>17</v>
      </c>
      <c r="I56" s="2">
        <v>45073</v>
      </c>
      <c r="J56" t="s">
        <v>128</v>
      </c>
      <c r="K56" t="s">
        <v>73</v>
      </c>
      <c r="L56" t="s">
        <v>88</v>
      </c>
      <c r="M56" t="s">
        <v>129</v>
      </c>
      <c r="N56" t="str">
        <f t="shared" si="1"/>
        <v>May</v>
      </c>
    </row>
    <row r="57" spans="1:14" x14ac:dyDescent="0.3">
      <c r="A57" t="s">
        <v>124</v>
      </c>
      <c r="B57" s="1">
        <v>9683</v>
      </c>
      <c r="C57" s="1">
        <f t="shared" si="0"/>
        <v>8669</v>
      </c>
      <c r="D57">
        <v>1014</v>
      </c>
      <c r="E57">
        <v>5</v>
      </c>
      <c r="F57" t="s">
        <v>15</v>
      </c>
      <c r="G57" t="s">
        <v>30</v>
      </c>
      <c r="H57" t="s">
        <v>17</v>
      </c>
      <c r="I57" s="2">
        <v>44481</v>
      </c>
      <c r="J57" t="s">
        <v>130</v>
      </c>
      <c r="K57" t="s">
        <v>73</v>
      </c>
      <c r="L57" t="s">
        <v>74</v>
      </c>
      <c r="M57" t="s">
        <v>39</v>
      </c>
      <c r="N57" t="str">
        <f t="shared" si="1"/>
        <v>October</v>
      </c>
    </row>
    <row r="58" spans="1:14" x14ac:dyDescent="0.3">
      <c r="A58" t="s">
        <v>131</v>
      </c>
      <c r="B58" s="1">
        <v>2463</v>
      </c>
      <c r="C58" s="1">
        <f t="shared" si="0"/>
        <v>1815</v>
      </c>
      <c r="D58">
        <v>648</v>
      </c>
      <c r="E58">
        <v>18</v>
      </c>
      <c r="F58" t="s">
        <v>47</v>
      </c>
      <c r="G58" t="s">
        <v>48</v>
      </c>
      <c r="H58" t="s">
        <v>42</v>
      </c>
      <c r="I58" s="2">
        <v>44823</v>
      </c>
      <c r="J58" t="s">
        <v>132</v>
      </c>
      <c r="K58" t="s">
        <v>100</v>
      </c>
      <c r="L58" t="s">
        <v>109</v>
      </c>
      <c r="M58" t="s">
        <v>133</v>
      </c>
      <c r="N58" t="str">
        <f t="shared" si="1"/>
        <v>September</v>
      </c>
    </row>
    <row r="59" spans="1:14" x14ac:dyDescent="0.3">
      <c r="A59" t="s">
        <v>134</v>
      </c>
      <c r="B59" s="1">
        <v>7811</v>
      </c>
      <c r="C59" s="1">
        <f t="shared" si="0"/>
        <v>6273</v>
      </c>
      <c r="D59">
        <v>1538</v>
      </c>
      <c r="E59">
        <v>12</v>
      </c>
      <c r="F59" t="s">
        <v>47</v>
      </c>
      <c r="G59" t="s">
        <v>62</v>
      </c>
      <c r="H59" t="s">
        <v>67</v>
      </c>
      <c r="I59" s="2">
        <v>44645</v>
      </c>
      <c r="J59" t="s">
        <v>135</v>
      </c>
      <c r="K59" t="s">
        <v>19</v>
      </c>
      <c r="L59" t="s">
        <v>20</v>
      </c>
      <c r="M59" t="s">
        <v>136</v>
      </c>
      <c r="N59" t="str">
        <f t="shared" si="1"/>
        <v>March</v>
      </c>
    </row>
    <row r="60" spans="1:14" x14ac:dyDescent="0.3">
      <c r="A60" t="s">
        <v>137</v>
      </c>
      <c r="B60" s="1">
        <v>6139</v>
      </c>
      <c r="C60" s="1">
        <f t="shared" si="0"/>
        <v>5688</v>
      </c>
      <c r="D60">
        <v>451</v>
      </c>
      <c r="E60">
        <v>10</v>
      </c>
      <c r="F60" t="s">
        <v>47</v>
      </c>
      <c r="G60" t="s">
        <v>48</v>
      </c>
      <c r="H60" t="s">
        <v>34</v>
      </c>
      <c r="I60" s="2">
        <v>44618</v>
      </c>
      <c r="J60" t="s">
        <v>138</v>
      </c>
      <c r="K60" t="s">
        <v>19</v>
      </c>
      <c r="L60" t="s">
        <v>36</v>
      </c>
      <c r="M60" t="s">
        <v>139</v>
      </c>
      <c r="N60" t="str">
        <f t="shared" si="1"/>
        <v>February</v>
      </c>
    </row>
    <row r="61" spans="1:14" x14ac:dyDescent="0.3">
      <c r="A61" t="s">
        <v>137</v>
      </c>
      <c r="B61" s="1">
        <v>6139</v>
      </c>
      <c r="C61" s="1">
        <f t="shared" si="0"/>
        <v>5688</v>
      </c>
      <c r="D61">
        <v>451</v>
      </c>
      <c r="E61">
        <v>10</v>
      </c>
      <c r="F61" t="s">
        <v>47</v>
      </c>
      <c r="G61" t="s">
        <v>48</v>
      </c>
      <c r="H61" t="s">
        <v>34</v>
      </c>
      <c r="I61" s="2">
        <v>44291</v>
      </c>
      <c r="J61" t="s">
        <v>93</v>
      </c>
      <c r="K61" t="s">
        <v>73</v>
      </c>
      <c r="L61" t="s">
        <v>140</v>
      </c>
      <c r="M61" t="s">
        <v>141</v>
      </c>
      <c r="N61" t="str">
        <f t="shared" si="1"/>
        <v>April</v>
      </c>
    </row>
    <row r="62" spans="1:14" x14ac:dyDescent="0.3">
      <c r="A62" t="s">
        <v>137</v>
      </c>
      <c r="B62" s="1">
        <v>8636</v>
      </c>
      <c r="C62" s="1">
        <f t="shared" si="0"/>
        <v>5444</v>
      </c>
      <c r="D62">
        <v>3192</v>
      </c>
      <c r="E62">
        <v>3</v>
      </c>
      <c r="F62" t="s">
        <v>47</v>
      </c>
      <c r="G62" t="s">
        <v>51</v>
      </c>
      <c r="H62" t="s">
        <v>67</v>
      </c>
      <c r="I62" s="2">
        <v>44618</v>
      </c>
      <c r="J62" t="s">
        <v>138</v>
      </c>
      <c r="K62" t="s">
        <v>19</v>
      </c>
      <c r="L62" t="s">
        <v>36</v>
      </c>
      <c r="M62" t="s">
        <v>139</v>
      </c>
      <c r="N62" t="str">
        <f t="shared" si="1"/>
        <v>February</v>
      </c>
    </row>
    <row r="63" spans="1:14" x14ac:dyDescent="0.3">
      <c r="A63" t="s">
        <v>137</v>
      </c>
      <c r="B63" s="1">
        <v>8636</v>
      </c>
      <c r="C63" s="1">
        <f t="shared" si="0"/>
        <v>5444</v>
      </c>
      <c r="D63">
        <v>3192</v>
      </c>
      <c r="E63">
        <v>3</v>
      </c>
      <c r="F63" t="s">
        <v>47</v>
      </c>
      <c r="G63" t="s">
        <v>51</v>
      </c>
      <c r="H63" t="s">
        <v>67</v>
      </c>
      <c r="I63" s="2">
        <v>44291</v>
      </c>
      <c r="J63" t="s">
        <v>93</v>
      </c>
      <c r="K63" t="s">
        <v>73</v>
      </c>
      <c r="L63" t="s">
        <v>140</v>
      </c>
      <c r="M63" t="s">
        <v>141</v>
      </c>
      <c r="N63" t="str">
        <f t="shared" si="1"/>
        <v>April</v>
      </c>
    </row>
    <row r="64" spans="1:14" x14ac:dyDescent="0.3">
      <c r="A64" t="s">
        <v>137</v>
      </c>
      <c r="B64" s="1">
        <v>4439</v>
      </c>
      <c r="C64" s="1">
        <f t="shared" si="0"/>
        <v>2727</v>
      </c>
      <c r="D64">
        <v>1712</v>
      </c>
      <c r="E64">
        <v>19</v>
      </c>
      <c r="F64" t="s">
        <v>47</v>
      </c>
      <c r="G64" t="s">
        <v>62</v>
      </c>
      <c r="H64" t="s">
        <v>49</v>
      </c>
      <c r="I64" s="2">
        <v>44618</v>
      </c>
      <c r="J64" t="s">
        <v>138</v>
      </c>
      <c r="K64" t="s">
        <v>19</v>
      </c>
      <c r="L64" t="s">
        <v>36</v>
      </c>
      <c r="M64" t="s">
        <v>139</v>
      </c>
      <c r="N64" t="str">
        <f t="shared" si="1"/>
        <v>February</v>
      </c>
    </row>
    <row r="65" spans="1:14" x14ac:dyDescent="0.3">
      <c r="A65" t="s">
        <v>137</v>
      </c>
      <c r="B65" s="1">
        <v>4439</v>
      </c>
      <c r="C65" s="1">
        <f t="shared" si="0"/>
        <v>2727</v>
      </c>
      <c r="D65">
        <v>1712</v>
      </c>
      <c r="E65">
        <v>19</v>
      </c>
      <c r="F65" t="s">
        <v>47</v>
      </c>
      <c r="G65" t="s">
        <v>62</v>
      </c>
      <c r="H65" t="s">
        <v>49</v>
      </c>
      <c r="I65" s="2">
        <v>44291</v>
      </c>
      <c r="J65" t="s">
        <v>93</v>
      </c>
      <c r="K65" t="s">
        <v>73</v>
      </c>
      <c r="L65" t="s">
        <v>140</v>
      </c>
      <c r="M65" t="s">
        <v>141</v>
      </c>
      <c r="N65" t="str">
        <f t="shared" si="1"/>
        <v>April</v>
      </c>
    </row>
    <row r="66" spans="1:14" x14ac:dyDescent="0.3">
      <c r="A66" t="s">
        <v>142</v>
      </c>
      <c r="B66" s="1">
        <v>1016</v>
      </c>
      <c r="C66" s="1">
        <f t="shared" ref="C66:C129" si="2">B66-D66</f>
        <v>844</v>
      </c>
      <c r="D66">
        <v>172</v>
      </c>
      <c r="E66">
        <v>20</v>
      </c>
      <c r="F66" t="s">
        <v>47</v>
      </c>
      <c r="G66" t="s">
        <v>48</v>
      </c>
      <c r="H66" t="s">
        <v>34</v>
      </c>
      <c r="I66" s="2">
        <v>44151</v>
      </c>
      <c r="J66" t="s">
        <v>143</v>
      </c>
      <c r="K66" t="s">
        <v>27</v>
      </c>
      <c r="L66" t="s">
        <v>28</v>
      </c>
      <c r="M66" t="s">
        <v>82</v>
      </c>
      <c r="N66" t="str">
        <f t="shared" si="1"/>
        <v>November</v>
      </c>
    </row>
    <row r="67" spans="1:14" x14ac:dyDescent="0.3">
      <c r="A67" t="s">
        <v>142</v>
      </c>
      <c r="B67" s="1">
        <v>5768</v>
      </c>
      <c r="C67" s="1">
        <f t="shared" si="2"/>
        <v>3709</v>
      </c>
      <c r="D67">
        <v>2059</v>
      </c>
      <c r="E67">
        <v>14</v>
      </c>
      <c r="F67" t="s">
        <v>47</v>
      </c>
      <c r="G67" t="s">
        <v>48</v>
      </c>
      <c r="H67" t="s">
        <v>17</v>
      </c>
      <c r="I67" s="2">
        <v>44151</v>
      </c>
      <c r="J67" t="s">
        <v>143</v>
      </c>
      <c r="K67" t="s">
        <v>27</v>
      </c>
      <c r="L67" t="s">
        <v>28</v>
      </c>
      <c r="M67" t="s">
        <v>82</v>
      </c>
      <c r="N67" t="str">
        <f t="shared" ref="N67:N130" si="3">TEXT(DATE(LEFT(M67,4),RIGHT(M67,2),1),"mmmm")</f>
        <v>November</v>
      </c>
    </row>
    <row r="68" spans="1:14" x14ac:dyDescent="0.3">
      <c r="A68" t="s">
        <v>142</v>
      </c>
      <c r="B68" s="1">
        <v>1217</v>
      </c>
      <c r="C68" s="1">
        <f t="shared" si="2"/>
        <v>1066</v>
      </c>
      <c r="D68">
        <v>151</v>
      </c>
      <c r="E68">
        <v>3</v>
      </c>
      <c r="F68" t="s">
        <v>47</v>
      </c>
      <c r="G68" t="s">
        <v>48</v>
      </c>
      <c r="H68" t="s">
        <v>49</v>
      </c>
      <c r="I68" s="2">
        <v>44151</v>
      </c>
      <c r="J68" t="s">
        <v>143</v>
      </c>
      <c r="K68" t="s">
        <v>27</v>
      </c>
      <c r="L68" t="s">
        <v>28</v>
      </c>
      <c r="M68" t="s">
        <v>82</v>
      </c>
      <c r="N68" t="str">
        <f t="shared" si="3"/>
        <v>November</v>
      </c>
    </row>
    <row r="69" spans="1:14" x14ac:dyDescent="0.3">
      <c r="A69" t="s">
        <v>144</v>
      </c>
      <c r="B69" s="1">
        <v>953</v>
      </c>
      <c r="C69" s="1">
        <f t="shared" si="2"/>
        <v>860</v>
      </c>
      <c r="D69">
        <v>93</v>
      </c>
      <c r="E69">
        <v>2</v>
      </c>
      <c r="F69" t="s">
        <v>32</v>
      </c>
      <c r="G69" t="s">
        <v>66</v>
      </c>
      <c r="H69" t="s">
        <v>34</v>
      </c>
      <c r="I69" s="2">
        <v>45638</v>
      </c>
      <c r="J69" t="s">
        <v>145</v>
      </c>
      <c r="K69" t="s">
        <v>100</v>
      </c>
      <c r="L69" t="s">
        <v>119</v>
      </c>
      <c r="M69" t="s">
        <v>25</v>
      </c>
      <c r="N69" t="str">
        <f t="shared" si="3"/>
        <v>December</v>
      </c>
    </row>
    <row r="70" spans="1:14" x14ac:dyDescent="0.3">
      <c r="A70" t="s">
        <v>144</v>
      </c>
      <c r="B70" s="1">
        <v>953</v>
      </c>
      <c r="C70" s="1">
        <f t="shared" si="2"/>
        <v>860</v>
      </c>
      <c r="D70">
        <v>93</v>
      </c>
      <c r="E70">
        <v>2</v>
      </c>
      <c r="F70" t="s">
        <v>32</v>
      </c>
      <c r="G70" t="s">
        <v>66</v>
      </c>
      <c r="H70" t="s">
        <v>34</v>
      </c>
      <c r="I70" s="2">
        <v>45022</v>
      </c>
      <c r="J70" t="s">
        <v>146</v>
      </c>
      <c r="K70" t="s">
        <v>44</v>
      </c>
      <c r="L70" t="s">
        <v>45</v>
      </c>
      <c r="M70" t="s">
        <v>147</v>
      </c>
      <c r="N70" t="str">
        <f t="shared" si="3"/>
        <v>April</v>
      </c>
    </row>
    <row r="71" spans="1:14" x14ac:dyDescent="0.3">
      <c r="A71" t="s">
        <v>144</v>
      </c>
      <c r="B71" s="1">
        <v>7355</v>
      </c>
      <c r="C71" s="1">
        <f t="shared" si="2"/>
        <v>6321</v>
      </c>
      <c r="D71">
        <v>1034</v>
      </c>
      <c r="E71">
        <v>3</v>
      </c>
      <c r="F71" t="s">
        <v>47</v>
      </c>
      <c r="G71" t="s">
        <v>62</v>
      </c>
      <c r="H71" t="s">
        <v>67</v>
      </c>
      <c r="I71" s="2">
        <v>45638</v>
      </c>
      <c r="J71" t="s">
        <v>145</v>
      </c>
      <c r="K71" t="s">
        <v>100</v>
      </c>
      <c r="L71" t="s">
        <v>119</v>
      </c>
      <c r="M71" t="s">
        <v>25</v>
      </c>
      <c r="N71" t="str">
        <f t="shared" si="3"/>
        <v>December</v>
      </c>
    </row>
    <row r="72" spans="1:14" x14ac:dyDescent="0.3">
      <c r="A72" t="s">
        <v>144</v>
      </c>
      <c r="B72" s="1">
        <v>7355</v>
      </c>
      <c r="C72" s="1">
        <f t="shared" si="2"/>
        <v>6321</v>
      </c>
      <c r="D72">
        <v>1034</v>
      </c>
      <c r="E72">
        <v>3</v>
      </c>
      <c r="F72" t="s">
        <v>47</v>
      </c>
      <c r="G72" t="s">
        <v>62</v>
      </c>
      <c r="H72" t="s">
        <v>67</v>
      </c>
      <c r="I72" s="2">
        <v>45022</v>
      </c>
      <c r="J72" t="s">
        <v>146</v>
      </c>
      <c r="K72" t="s">
        <v>44</v>
      </c>
      <c r="L72" t="s">
        <v>45</v>
      </c>
      <c r="M72" t="s">
        <v>147</v>
      </c>
      <c r="N72" t="str">
        <f t="shared" si="3"/>
        <v>April</v>
      </c>
    </row>
    <row r="73" spans="1:14" x14ac:dyDescent="0.3">
      <c r="A73" t="s">
        <v>144</v>
      </c>
      <c r="B73" s="1">
        <v>1843</v>
      </c>
      <c r="C73" s="1">
        <f t="shared" si="2"/>
        <v>1595</v>
      </c>
      <c r="D73">
        <v>248</v>
      </c>
      <c r="E73">
        <v>3</v>
      </c>
      <c r="F73" t="s">
        <v>15</v>
      </c>
      <c r="G73" t="s">
        <v>84</v>
      </c>
      <c r="H73" t="s">
        <v>49</v>
      </c>
      <c r="I73" s="2">
        <v>45638</v>
      </c>
      <c r="J73" t="s">
        <v>145</v>
      </c>
      <c r="K73" t="s">
        <v>100</v>
      </c>
      <c r="L73" t="s">
        <v>119</v>
      </c>
      <c r="M73" t="s">
        <v>25</v>
      </c>
      <c r="N73" t="str">
        <f t="shared" si="3"/>
        <v>December</v>
      </c>
    </row>
    <row r="74" spans="1:14" x14ac:dyDescent="0.3">
      <c r="A74" t="s">
        <v>144</v>
      </c>
      <c r="B74" s="1">
        <v>1843</v>
      </c>
      <c r="C74" s="1">
        <f t="shared" si="2"/>
        <v>1595</v>
      </c>
      <c r="D74">
        <v>248</v>
      </c>
      <c r="E74">
        <v>3</v>
      </c>
      <c r="F74" t="s">
        <v>15</v>
      </c>
      <c r="G74" t="s">
        <v>84</v>
      </c>
      <c r="H74" t="s">
        <v>49</v>
      </c>
      <c r="I74" s="2">
        <v>45022</v>
      </c>
      <c r="J74" t="s">
        <v>146</v>
      </c>
      <c r="K74" t="s">
        <v>44</v>
      </c>
      <c r="L74" t="s">
        <v>45</v>
      </c>
      <c r="M74" t="s">
        <v>147</v>
      </c>
      <c r="N74" t="str">
        <f t="shared" si="3"/>
        <v>April</v>
      </c>
    </row>
    <row r="75" spans="1:14" x14ac:dyDescent="0.3">
      <c r="A75" t="s">
        <v>144</v>
      </c>
      <c r="B75" s="1">
        <v>1603</v>
      </c>
      <c r="C75" s="1">
        <f t="shared" si="2"/>
        <v>1242</v>
      </c>
      <c r="D75">
        <v>361</v>
      </c>
      <c r="E75">
        <v>10</v>
      </c>
      <c r="F75" t="s">
        <v>32</v>
      </c>
      <c r="G75" t="s">
        <v>33</v>
      </c>
      <c r="H75" t="s">
        <v>34</v>
      </c>
      <c r="I75" s="2">
        <v>45638</v>
      </c>
      <c r="J75" t="s">
        <v>145</v>
      </c>
      <c r="K75" t="s">
        <v>100</v>
      </c>
      <c r="L75" t="s">
        <v>119</v>
      </c>
      <c r="M75" t="s">
        <v>25</v>
      </c>
      <c r="N75" t="str">
        <f t="shared" si="3"/>
        <v>December</v>
      </c>
    </row>
    <row r="76" spans="1:14" x14ac:dyDescent="0.3">
      <c r="A76" t="s">
        <v>144</v>
      </c>
      <c r="B76" s="1">
        <v>1603</v>
      </c>
      <c r="C76" s="1">
        <f t="shared" si="2"/>
        <v>1242</v>
      </c>
      <c r="D76">
        <v>361</v>
      </c>
      <c r="E76">
        <v>10</v>
      </c>
      <c r="F76" t="s">
        <v>32</v>
      </c>
      <c r="G76" t="s">
        <v>33</v>
      </c>
      <c r="H76" t="s">
        <v>34</v>
      </c>
      <c r="I76" s="2">
        <v>45022</v>
      </c>
      <c r="J76" t="s">
        <v>146</v>
      </c>
      <c r="K76" t="s">
        <v>44</v>
      </c>
      <c r="L76" t="s">
        <v>45</v>
      </c>
      <c r="M76" t="s">
        <v>147</v>
      </c>
      <c r="N76" t="str">
        <f t="shared" si="3"/>
        <v>April</v>
      </c>
    </row>
    <row r="77" spans="1:14" x14ac:dyDescent="0.3">
      <c r="A77" t="s">
        <v>148</v>
      </c>
      <c r="B77" s="1">
        <v>2025</v>
      </c>
      <c r="C77" s="1">
        <f t="shared" si="2"/>
        <v>1497</v>
      </c>
      <c r="D77">
        <v>528</v>
      </c>
      <c r="E77">
        <v>1</v>
      </c>
      <c r="F77" t="s">
        <v>32</v>
      </c>
      <c r="G77" t="s">
        <v>33</v>
      </c>
      <c r="H77" t="s">
        <v>49</v>
      </c>
      <c r="I77" s="2">
        <v>45319</v>
      </c>
      <c r="J77" t="s">
        <v>149</v>
      </c>
      <c r="K77" t="s">
        <v>19</v>
      </c>
      <c r="L77" t="s">
        <v>20</v>
      </c>
      <c r="M77" t="s">
        <v>78</v>
      </c>
      <c r="N77" t="str">
        <f t="shared" si="3"/>
        <v>January</v>
      </c>
    </row>
    <row r="78" spans="1:14" x14ac:dyDescent="0.3">
      <c r="A78" t="s">
        <v>148</v>
      </c>
      <c r="B78" s="1">
        <v>6800</v>
      </c>
      <c r="C78" s="1">
        <f t="shared" si="2"/>
        <v>6633</v>
      </c>
      <c r="D78">
        <v>167</v>
      </c>
      <c r="E78">
        <v>16</v>
      </c>
      <c r="F78" t="s">
        <v>32</v>
      </c>
      <c r="G78" t="s">
        <v>80</v>
      </c>
      <c r="H78" t="s">
        <v>42</v>
      </c>
      <c r="I78" s="2">
        <v>45319</v>
      </c>
      <c r="J78" t="s">
        <v>149</v>
      </c>
      <c r="K78" t="s">
        <v>19</v>
      </c>
      <c r="L78" t="s">
        <v>20</v>
      </c>
      <c r="M78" t="s">
        <v>78</v>
      </c>
      <c r="N78" t="str">
        <f t="shared" si="3"/>
        <v>January</v>
      </c>
    </row>
    <row r="79" spans="1:14" x14ac:dyDescent="0.3">
      <c r="A79" t="s">
        <v>150</v>
      </c>
      <c r="B79" s="1">
        <v>1126</v>
      </c>
      <c r="C79" s="1">
        <f t="shared" si="2"/>
        <v>1071</v>
      </c>
      <c r="D79">
        <v>55</v>
      </c>
      <c r="E79">
        <v>1</v>
      </c>
      <c r="F79" t="s">
        <v>47</v>
      </c>
      <c r="G79" t="s">
        <v>111</v>
      </c>
      <c r="H79" t="s">
        <v>17</v>
      </c>
      <c r="I79" s="2">
        <v>44577</v>
      </c>
      <c r="J79" t="s">
        <v>151</v>
      </c>
      <c r="K79" t="s">
        <v>19</v>
      </c>
      <c r="L79" t="s">
        <v>152</v>
      </c>
      <c r="M79" t="s">
        <v>89</v>
      </c>
      <c r="N79" t="str">
        <f t="shared" si="3"/>
        <v>January</v>
      </c>
    </row>
    <row r="80" spans="1:14" x14ac:dyDescent="0.3">
      <c r="A80" t="s">
        <v>150</v>
      </c>
      <c r="B80" s="1">
        <v>1126</v>
      </c>
      <c r="C80" s="1">
        <f t="shared" si="2"/>
        <v>1071</v>
      </c>
      <c r="D80">
        <v>55</v>
      </c>
      <c r="E80">
        <v>1</v>
      </c>
      <c r="F80" t="s">
        <v>47</v>
      </c>
      <c r="G80" t="s">
        <v>111</v>
      </c>
      <c r="H80" t="s">
        <v>17</v>
      </c>
      <c r="I80" s="2">
        <v>44911</v>
      </c>
      <c r="J80" t="s">
        <v>153</v>
      </c>
      <c r="K80" t="s">
        <v>27</v>
      </c>
      <c r="L80" t="s">
        <v>28</v>
      </c>
      <c r="M80" t="s">
        <v>154</v>
      </c>
      <c r="N80" t="str">
        <f t="shared" si="3"/>
        <v>December</v>
      </c>
    </row>
    <row r="81" spans="1:14" x14ac:dyDescent="0.3">
      <c r="A81" t="s">
        <v>155</v>
      </c>
      <c r="B81" s="1">
        <v>7533</v>
      </c>
      <c r="C81" s="1">
        <f t="shared" si="2"/>
        <v>4025</v>
      </c>
      <c r="D81">
        <v>3508</v>
      </c>
      <c r="E81">
        <v>12</v>
      </c>
      <c r="F81" t="s">
        <v>47</v>
      </c>
      <c r="G81" t="s">
        <v>48</v>
      </c>
      <c r="H81" t="s">
        <v>17</v>
      </c>
      <c r="I81" s="2">
        <v>45120</v>
      </c>
      <c r="J81" t="s">
        <v>156</v>
      </c>
      <c r="K81" t="s">
        <v>44</v>
      </c>
      <c r="L81" t="s">
        <v>77</v>
      </c>
      <c r="M81" t="s">
        <v>107</v>
      </c>
      <c r="N81" t="str">
        <f t="shared" si="3"/>
        <v>July</v>
      </c>
    </row>
    <row r="82" spans="1:14" x14ac:dyDescent="0.3">
      <c r="A82" t="s">
        <v>155</v>
      </c>
      <c r="B82" s="1">
        <v>4734</v>
      </c>
      <c r="C82" s="1">
        <f t="shared" si="2"/>
        <v>3556</v>
      </c>
      <c r="D82">
        <v>1178</v>
      </c>
      <c r="E82">
        <v>16</v>
      </c>
      <c r="F82" t="s">
        <v>32</v>
      </c>
      <c r="G82" t="s">
        <v>80</v>
      </c>
      <c r="H82" t="s">
        <v>49</v>
      </c>
      <c r="I82" s="2">
        <v>45120</v>
      </c>
      <c r="J82" t="s">
        <v>156</v>
      </c>
      <c r="K82" t="s">
        <v>44</v>
      </c>
      <c r="L82" t="s">
        <v>77</v>
      </c>
      <c r="M82" t="s">
        <v>107</v>
      </c>
      <c r="N82" t="str">
        <f t="shared" si="3"/>
        <v>July</v>
      </c>
    </row>
    <row r="83" spans="1:14" x14ac:dyDescent="0.3">
      <c r="A83" t="s">
        <v>155</v>
      </c>
      <c r="B83" s="1">
        <v>4074</v>
      </c>
      <c r="C83" s="1">
        <f t="shared" si="2"/>
        <v>2899</v>
      </c>
      <c r="D83">
        <v>1175</v>
      </c>
      <c r="E83">
        <v>6</v>
      </c>
      <c r="F83" t="s">
        <v>15</v>
      </c>
      <c r="G83" t="s">
        <v>16</v>
      </c>
      <c r="H83" t="s">
        <v>34</v>
      </c>
      <c r="I83" s="2">
        <v>45120</v>
      </c>
      <c r="J83" t="s">
        <v>156</v>
      </c>
      <c r="K83" t="s">
        <v>44</v>
      </c>
      <c r="L83" t="s">
        <v>77</v>
      </c>
      <c r="M83" t="s">
        <v>107</v>
      </c>
      <c r="N83" t="str">
        <f t="shared" si="3"/>
        <v>July</v>
      </c>
    </row>
    <row r="84" spans="1:14" x14ac:dyDescent="0.3">
      <c r="A84" t="s">
        <v>155</v>
      </c>
      <c r="B84" s="1">
        <v>2334</v>
      </c>
      <c r="C84" s="1">
        <f t="shared" si="2"/>
        <v>1850</v>
      </c>
      <c r="D84">
        <v>484</v>
      </c>
      <c r="E84">
        <v>3</v>
      </c>
      <c r="F84" t="s">
        <v>47</v>
      </c>
      <c r="G84" t="s">
        <v>62</v>
      </c>
      <c r="H84" t="s">
        <v>49</v>
      </c>
      <c r="I84" s="2">
        <v>45120</v>
      </c>
      <c r="J84" t="s">
        <v>156</v>
      </c>
      <c r="K84" t="s">
        <v>44</v>
      </c>
      <c r="L84" t="s">
        <v>77</v>
      </c>
      <c r="M84" t="s">
        <v>107</v>
      </c>
      <c r="N84" t="str">
        <f t="shared" si="3"/>
        <v>July</v>
      </c>
    </row>
    <row r="85" spans="1:14" x14ac:dyDescent="0.3">
      <c r="A85" t="s">
        <v>157</v>
      </c>
      <c r="B85" s="1">
        <v>2750</v>
      </c>
      <c r="C85" s="1">
        <f t="shared" si="2"/>
        <v>1511</v>
      </c>
      <c r="D85">
        <v>1239</v>
      </c>
      <c r="E85">
        <v>11</v>
      </c>
      <c r="F85" t="s">
        <v>15</v>
      </c>
      <c r="G85" t="s">
        <v>84</v>
      </c>
      <c r="H85" t="s">
        <v>34</v>
      </c>
      <c r="I85" s="2">
        <v>45726</v>
      </c>
      <c r="J85" t="s">
        <v>158</v>
      </c>
      <c r="K85" t="s">
        <v>27</v>
      </c>
      <c r="L85" t="s">
        <v>28</v>
      </c>
      <c r="M85" t="s">
        <v>159</v>
      </c>
      <c r="N85" t="str">
        <f t="shared" si="3"/>
        <v>March</v>
      </c>
    </row>
    <row r="86" spans="1:14" x14ac:dyDescent="0.3">
      <c r="A86" t="s">
        <v>157</v>
      </c>
      <c r="B86" s="1">
        <v>2750</v>
      </c>
      <c r="C86" s="1">
        <f t="shared" si="2"/>
        <v>1511</v>
      </c>
      <c r="D86">
        <v>1239</v>
      </c>
      <c r="E86">
        <v>11</v>
      </c>
      <c r="F86" t="s">
        <v>15</v>
      </c>
      <c r="G86" t="s">
        <v>84</v>
      </c>
      <c r="H86" t="s">
        <v>34</v>
      </c>
      <c r="I86" s="2">
        <v>45559</v>
      </c>
      <c r="J86" t="s">
        <v>160</v>
      </c>
      <c r="K86" t="s">
        <v>100</v>
      </c>
      <c r="L86" t="s">
        <v>119</v>
      </c>
      <c r="M86" t="s">
        <v>161</v>
      </c>
      <c r="N86" t="str">
        <f t="shared" si="3"/>
        <v>September</v>
      </c>
    </row>
    <row r="87" spans="1:14" x14ac:dyDescent="0.3">
      <c r="A87" t="s">
        <v>157</v>
      </c>
      <c r="B87" s="1">
        <v>8639</v>
      </c>
      <c r="C87" s="1">
        <f t="shared" si="2"/>
        <v>5535</v>
      </c>
      <c r="D87">
        <v>3104</v>
      </c>
      <c r="E87">
        <v>19</v>
      </c>
      <c r="F87" t="s">
        <v>32</v>
      </c>
      <c r="G87" t="s">
        <v>33</v>
      </c>
      <c r="H87" t="s">
        <v>42</v>
      </c>
      <c r="I87" s="2">
        <v>45726</v>
      </c>
      <c r="J87" t="s">
        <v>158</v>
      </c>
      <c r="K87" t="s">
        <v>27</v>
      </c>
      <c r="L87" t="s">
        <v>28</v>
      </c>
      <c r="M87" t="s">
        <v>159</v>
      </c>
      <c r="N87" t="str">
        <f t="shared" si="3"/>
        <v>March</v>
      </c>
    </row>
    <row r="88" spans="1:14" x14ac:dyDescent="0.3">
      <c r="A88" t="s">
        <v>157</v>
      </c>
      <c r="B88" s="1">
        <v>8639</v>
      </c>
      <c r="C88" s="1">
        <f t="shared" si="2"/>
        <v>5535</v>
      </c>
      <c r="D88">
        <v>3104</v>
      </c>
      <c r="E88">
        <v>19</v>
      </c>
      <c r="F88" t="s">
        <v>32</v>
      </c>
      <c r="G88" t="s">
        <v>33</v>
      </c>
      <c r="H88" t="s">
        <v>42</v>
      </c>
      <c r="I88" s="2">
        <v>45559</v>
      </c>
      <c r="J88" t="s">
        <v>160</v>
      </c>
      <c r="K88" t="s">
        <v>100</v>
      </c>
      <c r="L88" t="s">
        <v>119</v>
      </c>
      <c r="M88" t="s">
        <v>161</v>
      </c>
      <c r="N88" t="str">
        <f t="shared" si="3"/>
        <v>September</v>
      </c>
    </row>
    <row r="89" spans="1:14" x14ac:dyDescent="0.3">
      <c r="A89" t="s">
        <v>162</v>
      </c>
      <c r="B89" s="1">
        <v>3808</v>
      </c>
      <c r="C89" s="1">
        <f t="shared" si="2"/>
        <v>2616</v>
      </c>
      <c r="D89">
        <v>1192</v>
      </c>
      <c r="E89">
        <v>4</v>
      </c>
      <c r="F89" t="s">
        <v>32</v>
      </c>
      <c r="G89" t="s">
        <v>59</v>
      </c>
      <c r="H89" t="s">
        <v>17</v>
      </c>
      <c r="I89" s="2">
        <v>43934</v>
      </c>
      <c r="J89" t="s">
        <v>163</v>
      </c>
      <c r="K89" t="s">
        <v>27</v>
      </c>
      <c r="L89" t="s">
        <v>53</v>
      </c>
      <c r="M89" t="s">
        <v>164</v>
      </c>
      <c r="N89" t="str">
        <f t="shared" si="3"/>
        <v>April</v>
      </c>
    </row>
    <row r="90" spans="1:14" x14ac:dyDescent="0.3">
      <c r="A90" t="s">
        <v>162</v>
      </c>
      <c r="B90" s="1">
        <v>2588</v>
      </c>
      <c r="C90" s="1">
        <f t="shared" si="2"/>
        <v>1883</v>
      </c>
      <c r="D90">
        <v>705</v>
      </c>
      <c r="E90">
        <v>16</v>
      </c>
      <c r="F90" t="s">
        <v>32</v>
      </c>
      <c r="G90" t="s">
        <v>33</v>
      </c>
      <c r="H90" t="s">
        <v>49</v>
      </c>
      <c r="I90" s="2">
        <v>43934</v>
      </c>
      <c r="J90" t="s">
        <v>163</v>
      </c>
      <c r="K90" t="s">
        <v>27</v>
      </c>
      <c r="L90" t="s">
        <v>53</v>
      </c>
      <c r="M90" t="s">
        <v>164</v>
      </c>
      <c r="N90" t="str">
        <f t="shared" si="3"/>
        <v>April</v>
      </c>
    </row>
    <row r="91" spans="1:14" x14ac:dyDescent="0.3">
      <c r="A91" t="s">
        <v>165</v>
      </c>
      <c r="B91" s="1">
        <v>1591</v>
      </c>
      <c r="C91" s="1">
        <f t="shared" si="2"/>
        <v>864</v>
      </c>
      <c r="D91">
        <v>727</v>
      </c>
      <c r="E91">
        <v>5</v>
      </c>
      <c r="F91" t="s">
        <v>15</v>
      </c>
      <c r="G91" t="s">
        <v>16</v>
      </c>
      <c r="H91" t="s">
        <v>49</v>
      </c>
      <c r="I91" s="2">
        <v>44739</v>
      </c>
      <c r="J91" t="s">
        <v>166</v>
      </c>
      <c r="K91" t="s">
        <v>23</v>
      </c>
      <c r="L91" t="s">
        <v>65</v>
      </c>
      <c r="M91" t="s">
        <v>167</v>
      </c>
      <c r="N91" t="str">
        <f t="shared" si="3"/>
        <v>June</v>
      </c>
    </row>
    <row r="92" spans="1:14" x14ac:dyDescent="0.3">
      <c r="A92" t="s">
        <v>165</v>
      </c>
      <c r="B92" s="1">
        <v>1591</v>
      </c>
      <c r="C92" s="1">
        <f t="shared" si="2"/>
        <v>864</v>
      </c>
      <c r="D92">
        <v>727</v>
      </c>
      <c r="E92">
        <v>5</v>
      </c>
      <c r="F92" t="s">
        <v>15</v>
      </c>
      <c r="G92" t="s">
        <v>16</v>
      </c>
      <c r="H92" t="s">
        <v>49</v>
      </c>
      <c r="I92" s="2">
        <v>44269</v>
      </c>
      <c r="J92" t="s">
        <v>168</v>
      </c>
      <c r="K92" t="s">
        <v>19</v>
      </c>
      <c r="L92" t="s">
        <v>152</v>
      </c>
      <c r="M92" t="s">
        <v>169</v>
      </c>
      <c r="N92" t="str">
        <f t="shared" si="3"/>
        <v>March</v>
      </c>
    </row>
    <row r="93" spans="1:14" x14ac:dyDescent="0.3">
      <c r="A93" t="s">
        <v>165</v>
      </c>
      <c r="B93" s="1">
        <v>1591</v>
      </c>
      <c r="C93" s="1">
        <f t="shared" si="2"/>
        <v>864</v>
      </c>
      <c r="D93">
        <v>727</v>
      </c>
      <c r="E93">
        <v>5</v>
      </c>
      <c r="F93" t="s">
        <v>15</v>
      </c>
      <c r="G93" t="s">
        <v>16</v>
      </c>
      <c r="H93" t="s">
        <v>49</v>
      </c>
      <c r="I93" s="2">
        <v>44615</v>
      </c>
      <c r="J93" t="s">
        <v>170</v>
      </c>
      <c r="K93" t="s">
        <v>100</v>
      </c>
      <c r="L93" t="s">
        <v>109</v>
      </c>
      <c r="M93" t="s">
        <v>139</v>
      </c>
      <c r="N93" t="str">
        <f t="shared" si="3"/>
        <v>February</v>
      </c>
    </row>
    <row r="94" spans="1:14" x14ac:dyDescent="0.3">
      <c r="A94" t="s">
        <v>171</v>
      </c>
      <c r="B94" s="1">
        <v>1757</v>
      </c>
      <c r="C94" s="1">
        <f t="shared" si="2"/>
        <v>1135</v>
      </c>
      <c r="D94">
        <v>622</v>
      </c>
      <c r="E94">
        <v>10</v>
      </c>
      <c r="F94" t="s">
        <v>47</v>
      </c>
      <c r="G94" t="s">
        <v>51</v>
      </c>
      <c r="H94" t="s">
        <v>17</v>
      </c>
      <c r="I94" s="2">
        <v>44649</v>
      </c>
      <c r="J94" t="s">
        <v>172</v>
      </c>
      <c r="K94" t="s">
        <v>100</v>
      </c>
      <c r="L94" t="s">
        <v>119</v>
      </c>
      <c r="M94" t="s">
        <v>136</v>
      </c>
      <c r="N94" t="str">
        <f t="shared" si="3"/>
        <v>March</v>
      </c>
    </row>
    <row r="95" spans="1:14" x14ac:dyDescent="0.3">
      <c r="A95" t="s">
        <v>171</v>
      </c>
      <c r="B95" s="1">
        <v>1757</v>
      </c>
      <c r="C95" s="1">
        <f t="shared" si="2"/>
        <v>1135</v>
      </c>
      <c r="D95">
        <v>622</v>
      </c>
      <c r="E95">
        <v>10</v>
      </c>
      <c r="F95" t="s">
        <v>47</v>
      </c>
      <c r="G95" t="s">
        <v>51</v>
      </c>
      <c r="H95" t="s">
        <v>17</v>
      </c>
      <c r="I95" s="2">
        <v>44885</v>
      </c>
      <c r="J95" t="s">
        <v>173</v>
      </c>
      <c r="K95" t="s">
        <v>23</v>
      </c>
      <c r="L95" t="s">
        <v>174</v>
      </c>
      <c r="M95" t="s">
        <v>46</v>
      </c>
      <c r="N95" t="str">
        <f t="shared" si="3"/>
        <v>November</v>
      </c>
    </row>
    <row r="96" spans="1:14" x14ac:dyDescent="0.3">
      <c r="A96" t="s">
        <v>175</v>
      </c>
      <c r="B96" s="1">
        <v>6940</v>
      </c>
      <c r="C96" s="1">
        <f t="shared" si="2"/>
        <v>6687</v>
      </c>
      <c r="D96">
        <v>253</v>
      </c>
      <c r="E96">
        <v>15</v>
      </c>
      <c r="F96" t="s">
        <v>47</v>
      </c>
      <c r="G96" t="s">
        <v>111</v>
      </c>
      <c r="H96" t="s">
        <v>34</v>
      </c>
      <c r="I96" s="2">
        <v>44512</v>
      </c>
      <c r="J96" t="s">
        <v>176</v>
      </c>
      <c r="K96" t="s">
        <v>19</v>
      </c>
      <c r="L96" t="s">
        <v>36</v>
      </c>
      <c r="M96" t="s">
        <v>177</v>
      </c>
      <c r="N96" t="str">
        <f t="shared" si="3"/>
        <v>November</v>
      </c>
    </row>
    <row r="97" spans="1:14" x14ac:dyDescent="0.3">
      <c r="A97" t="s">
        <v>175</v>
      </c>
      <c r="B97" s="1">
        <v>5105</v>
      </c>
      <c r="C97" s="1">
        <f t="shared" si="2"/>
        <v>4640</v>
      </c>
      <c r="D97">
        <v>465</v>
      </c>
      <c r="E97">
        <v>5</v>
      </c>
      <c r="F97" t="s">
        <v>15</v>
      </c>
      <c r="G97" t="s">
        <v>30</v>
      </c>
      <c r="H97" t="s">
        <v>17</v>
      </c>
      <c r="I97" s="2">
        <v>44512</v>
      </c>
      <c r="J97" t="s">
        <v>176</v>
      </c>
      <c r="K97" t="s">
        <v>19</v>
      </c>
      <c r="L97" t="s">
        <v>36</v>
      </c>
      <c r="M97" t="s">
        <v>177</v>
      </c>
      <c r="N97" t="str">
        <f t="shared" si="3"/>
        <v>November</v>
      </c>
    </row>
    <row r="98" spans="1:14" x14ac:dyDescent="0.3">
      <c r="A98" t="s">
        <v>178</v>
      </c>
      <c r="B98" s="1">
        <v>5578</v>
      </c>
      <c r="C98" s="1">
        <f t="shared" si="2"/>
        <v>5301</v>
      </c>
      <c r="D98">
        <v>277</v>
      </c>
      <c r="E98">
        <v>16</v>
      </c>
      <c r="F98" t="s">
        <v>47</v>
      </c>
      <c r="G98" t="s">
        <v>48</v>
      </c>
      <c r="H98" t="s">
        <v>67</v>
      </c>
      <c r="I98" s="2">
        <v>44425</v>
      </c>
      <c r="J98" t="s">
        <v>179</v>
      </c>
      <c r="K98" t="s">
        <v>19</v>
      </c>
      <c r="L98" t="s">
        <v>20</v>
      </c>
      <c r="M98" t="s">
        <v>180</v>
      </c>
      <c r="N98" t="str">
        <f t="shared" si="3"/>
        <v>August</v>
      </c>
    </row>
    <row r="99" spans="1:14" x14ac:dyDescent="0.3">
      <c r="A99" t="s">
        <v>178</v>
      </c>
      <c r="B99" s="1">
        <v>5578</v>
      </c>
      <c r="C99" s="1">
        <f t="shared" si="2"/>
        <v>5301</v>
      </c>
      <c r="D99">
        <v>277</v>
      </c>
      <c r="E99">
        <v>16</v>
      </c>
      <c r="F99" t="s">
        <v>47</v>
      </c>
      <c r="G99" t="s">
        <v>48</v>
      </c>
      <c r="H99" t="s">
        <v>67</v>
      </c>
      <c r="I99" s="2">
        <v>44697</v>
      </c>
      <c r="J99" t="s">
        <v>181</v>
      </c>
      <c r="K99" t="s">
        <v>100</v>
      </c>
      <c r="L99" t="s">
        <v>101</v>
      </c>
      <c r="M99" t="s">
        <v>182</v>
      </c>
      <c r="N99" t="str">
        <f t="shared" si="3"/>
        <v>May</v>
      </c>
    </row>
    <row r="100" spans="1:14" x14ac:dyDescent="0.3">
      <c r="A100" t="s">
        <v>183</v>
      </c>
      <c r="B100" s="1">
        <v>5224</v>
      </c>
      <c r="C100" s="1">
        <f t="shared" si="2"/>
        <v>3266</v>
      </c>
      <c r="D100">
        <v>1958</v>
      </c>
      <c r="E100">
        <v>16</v>
      </c>
      <c r="F100" t="s">
        <v>47</v>
      </c>
      <c r="G100" t="s">
        <v>51</v>
      </c>
      <c r="H100" t="s">
        <v>49</v>
      </c>
      <c r="I100" s="2">
        <v>45123</v>
      </c>
      <c r="J100" t="s">
        <v>184</v>
      </c>
      <c r="K100" t="s">
        <v>73</v>
      </c>
      <c r="L100" t="s">
        <v>140</v>
      </c>
      <c r="M100" t="s">
        <v>107</v>
      </c>
      <c r="N100" t="str">
        <f t="shared" si="3"/>
        <v>July</v>
      </c>
    </row>
    <row r="101" spans="1:14" x14ac:dyDescent="0.3">
      <c r="A101" t="s">
        <v>183</v>
      </c>
      <c r="B101" s="1">
        <v>5002</v>
      </c>
      <c r="C101" s="1">
        <f t="shared" si="2"/>
        <v>3201</v>
      </c>
      <c r="D101">
        <v>1801</v>
      </c>
      <c r="E101">
        <v>11</v>
      </c>
      <c r="F101" t="s">
        <v>32</v>
      </c>
      <c r="G101" t="s">
        <v>59</v>
      </c>
      <c r="H101" t="s">
        <v>49</v>
      </c>
      <c r="I101" s="2">
        <v>45123</v>
      </c>
      <c r="J101" t="s">
        <v>184</v>
      </c>
      <c r="K101" t="s">
        <v>73</v>
      </c>
      <c r="L101" t="s">
        <v>140</v>
      </c>
      <c r="M101" t="s">
        <v>107</v>
      </c>
      <c r="N101" t="str">
        <f t="shared" si="3"/>
        <v>July</v>
      </c>
    </row>
    <row r="102" spans="1:14" x14ac:dyDescent="0.3">
      <c r="A102" t="s">
        <v>183</v>
      </c>
      <c r="B102" s="1">
        <v>7380</v>
      </c>
      <c r="C102" s="1">
        <f t="shared" si="2"/>
        <v>5707</v>
      </c>
      <c r="D102">
        <v>1673</v>
      </c>
      <c r="E102">
        <v>18</v>
      </c>
      <c r="F102" t="s">
        <v>32</v>
      </c>
      <c r="G102" t="s">
        <v>59</v>
      </c>
      <c r="H102" t="s">
        <v>67</v>
      </c>
      <c r="I102" s="2">
        <v>45123</v>
      </c>
      <c r="J102" t="s">
        <v>184</v>
      </c>
      <c r="K102" t="s">
        <v>73</v>
      </c>
      <c r="L102" t="s">
        <v>140</v>
      </c>
      <c r="M102" t="s">
        <v>107</v>
      </c>
      <c r="N102" t="str">
        <f t="shared" si="3"/>
        <v>July</v>
      </c>
    </row>
    <row r="103" spans="1:14" x14ac:dyDescent="0.3">
      <c r="A103" t="s">
        <v>185</v>
      </c>
      <c r="B103" s="1">
        <v>7595</v>
      </c>
      <c r="C103" s="1">
        <f t="shared" si="2"/>
        <v>4722</v>
      </c>
      <c r="D103">
        <v>2873</v>
      </c>
      <c r="E103">
        <v>4</v>
      </c>
      <c r="F103" t="s">
        <v>47</v>
      </c>
      <c r="G103" t="s">
        <v>51</v>
      </c>
      <c r="H103" t="s">
        <v>34</v>
      </c>
      <c r="I103" s="2">
        <v>44061</v>
      </c>
      <c r="J103" t="s">
        <v>186</v>
      </c>
      <c r="K103" t="s">
        <v>44</v>
      </c>
      <c r="L103" t="s">
        <v>45</v>
      </c>
      <c r="M103" t="s">
        <v>187</v>
      </c>
      <c r="N103" t="str">
        <f t="shared" si="3"/>
        <v>August</v>
      </c>
    </row>
    <row r="104" spans="1:14" x14ac:dyDescent="0.3">
      <c r="A104" t="s">
        <v>185</v>
      </c>
      <c r="B104" s="1">
        <v>7595</v>
      </c>
      <c r="C104" s="1">
        <f t="shared" si="2"/>
        <v>4722</v>
      </c>
      <c r="D104">
        <v>2873</v>
      </c>
      <c r="E104">
        <v>4</v>
      </c>
      <c r="F104" t="s">
        <v>47</v>
      </c>
      <c r="G104" t="s">
        <v>51</v>
      </c>
      <c r="H104" t="s">
        <v>34</v>
      </c>
      <c r="I104" s="2">
        <v>44670</v>
      </c>
      <c r="J104" t="s">
        <v>188</v>
      </c>
      <c r="K104" t="s">
        <v>27</v>
      </c>
      <c r="L104" t="s">
        <v>70</v>
      </c>
      <c r="M104" t="s">
        <v>189</v>
      </c>
      <c r="N104" t="str">
        <f t="shared" si="3"/>
        <v>April</v>
      </c>
    </row>
    <row r="105" spans="1:14" x14ac:dyDescent="0.3">
      <c r="A105" t="s">
        <v>190</v>
      </c>
      <c r="B105" s="1">
        <v>1954</v>
      </c>
      <c r="C105" s="1">
        <f t="shared" si="2"/>
        <v>1660</v>
      </c>
      <c r="D105">
        <v>294</v>
      </c>
      <c r="E105">
        <v>7</v>
      </c>
      <c r="F105" t="s">
        <v>47</v>
      </c>
      <c r="G105" t="s">
        <v>62</v>
      </c>
      <c r="H105" t="s">
        <v>34</v>
      </c>
      <c r="I105" s="2">
        <v>44918</v>
      </c>
      <c r="J105" t="s">
        <v>191</v>
      </c>
      <c r="K105" t="s">
        <v>73</v>
      </c>
      <c r="L105" t="s">
        <v>88</v>
      </c>
      <c r="M105" t="s">
        <v>154</v>
      </c>
      <c r="N105" t="str">
        <f t="shared" si="3"/>
        <v>December</v>
      </c>
    </row>
    <row r="106" spans="1:14" x14ac:dyDescent="0.3">
      <c r="A106" t="s">
        <v>192</v>
      </c>
      <c r="B106" s="1">
        <v>523</v>
      </c>
      <c r="C106" s="1">
        <f t="shared" si="2"/>
        <v>428</v>
      </c>
      <c r="D106">
        <v>95</v>
      </c>
      <c r="E106">
        <v>20</v>
      </c>
      <c r="F106" t="s">
        <v>15</v>
      </c>
      <c r="G106" t="s">
        <v>30</v>
      </c>
      <c r="H106" t="s">
        <v>42</v>
      </c>
      <c r="I106" s="2">
        <v>45633</v>
      </c>
      <c r="J106" t="s">
        <v>193</v>
      </c>
      <c r="K106" t="s">
        <v>73</v>
      </c>
      <c r="L106" t="s">
        <v>74</v>
      </c>
      <c r="M106" t="s">
        <v>25</v>
      </c>
      <c r="N106" t="str">
        <f t="shared" si="3"/>
        <v>December</v>
      </c>
    </row>
    <row r="107" spans="1:14" x14ac:dyDescent="0.3">
      <c r="A107" t="s">
        <v>194</v>
      </c>
      <c r="B107" s="1">
        <v>5704</v>
      </c>
      <c r="C107" s="1">
        <f t="shared" si="2"/>
        <v>4990</v>
      </c>
      <c r="D107">
        <v>714</v>
      </c>
      <c r="E107">
        <v>13</v>
      </c>
      <c r="F107" t="s">
        <v>15</v>
      </c>
      <c r="G107" t="s">
        <v>41</v>
      </c>
      <c r="H107" t="s">
        <v>42</v>
      </c>
      <c r="I107" s="2">
        <v>44595</v>
      </c>
      <c r="J107" t="s">
        <v>195</v>
      </c>
      <c r="K107" t="s">
        <v>73</v>
      </c>
      <c r="L107" t="s">
        <v>88</v>
      </c>
      <c r="M107" t="s">
        <v>139</v>
      </c>
      <c r="N107" t="str">
        <f t="shared" si="3"/>
        <v>February</v>
      </c>
    </row>
    <row r="108" spans="1:14" x14ac:dyDescent="0.3">
      <c r="A108" t="s">
        <v>194</v>
      </c>
      <c r="B108" s="1">
        <v>5704</v>
      </c>
      <c r="C108" s="1">
        <f t="shared" si="2"/>
        <v>4990</v>
      </c>
      <c r="D108">
        <v>714</v>
      </c>
      <c r="E108">
        <v>13</v>
      </c>
      <c r="F108" t="s">
        <v>15</v>
      </c>
      <c r="G108" t="s">
        <v>41</v>
      </c>
      <c r="H108" t="s">
        <v>42</v>
      </c>
      <c r="I108" s="2">
        <v>44542</v>
      </c>
      <c r="J108" t="s">
        <v>196</v>
      </c>
      <c r="K108" t="s">
        <v>44</v>
      </c>
      <c r="L108" t="s">
        <v>77</v>
      </c>
      <c r="M108" t="s">
        <v>92</v>
      </c>
      <c r="N108" t="str">
        <f t="shared" si="3"/>
        <v>December</v>
      </c>
    </row>
    <row r="109" spans="1:14" x14ac:dyDescent="0.3">
      <c r="A109" t="s">
        <v>194</v>
      </c>
      <c r="B109" s="1">
        <v>8797</v>
      </c>
      <c r="C109" s="1">
        <f t="shared" si="2"/>
        <v>7787</v>
      </c>
      <c r="D109">
        <v>1010</v>
      </c>
      <c r="E109">
        <v>8</v>
      </c>
      <c r="F109" t="s">
        <v>47</v>
      </c>
      <c r="G109" t="s">
        <v>48</v>
      </c>
      <c r="H109" t="s">
        <v>17</v>
      </c>
      <c r="I109" s="2">
        <v>44595</v>
      </c>
      <c r="J109" t="s">
        <v>195</v>
      </c>
      <c r="K109" t="s">
        <v>73</v>
      </c>
      <c r="L109" t="s">
        <v>88</v>
      </c>
      <c r="M109" t="s">
        <v>139</v>
      </c>
      <c r="N109" t="str">
        <f t="shared" si="3"/>
        <v>February</v>
      </c>
    </row>
    <row r="110" spans="1:14" x14ac:dyDescent="0.3">
      <c r="A110" t="s">
        <v>194</v>
      </c>
      <c r="B110" s="1">
        <v>8797</v>
      </c>
      <c r="C110" s="1">
        <f t="shared" si="2"/>
        <v>7787</v>
      </c>
      <c r="D110">
        <v>1010</v>
      </c>
      <c r="E110">
        <v>8</v>
      </c>
      <c r="F110" t="s">
        <v>47</v>
      </c>
      <c r="G110" t="s">
        <v>48</v>
      </c>
      <c r="H110" t="s">
        <v>17</v>
      </c>
      <c r="I110" s="2">
        <v>44542</v>
      </c>
      <c r="J110" t="s">
        <v>196</v>
      </c>
      <c r="K110" t="s">
        <v>44</v>
      </c>
      <c r="L110" t="s">
        <v>77</v>
      </c>
      <c r="M110" t="s">
        <v>92</v>
      </c>
      <c r="N110" t="str">
        <f t="shared" si="3"/>
        <v>December</v>
      </c>
    </row>
    <row r="111" spans="1:14" x14ac:dyDescent="0.3">
      <c r="A111" t="s">
        <v>194</v>
      </c>
      <c r="B111" s="1">
        <v>9236</v>
      </c>
      <c r="C111" s="1">
        <f t="shared" si="2"/>
        <v>6337</v>
      </c>
      <c r="D111">
        <v>2899</v>
      </c>
      <c r="E111">
        <v>5</v>
      </c>
      <c r="F111" t="s">
        <v>15</v>
      </c>
      <c r="G111" t="s">
        <v>41</v>
      </c>
      <c r="H111" t="s">
        <v>34</v>
      </c>
      <c r="I111" s="2">
        <v>44595</v>
      </c>
      <c r="J111" t="s">
        <v>195</v>
      </c>
      <c r="K111" t="s">
        <v>73</v>
      </c>
      <c r="L111" t="s">
        <v>88</v>
      </c>
      <c r="M111" t="s">
        <v>139</v>
      </c>
      <c r="N111" t="str">
        <f t="shared" si="3"/>
        <v>February</v>
      </c>
    </row>
    <row r="112" spans="1:14" x14ac:dyDescent="0.3">
      <c r="A112" t="s">
        <v>194</v>
      </c>
      <c r="B112" s="1">
        <v>9236</v>
      </c>
      <c r="C112" s="1">
        <f t="shared" si="2"/>
        <v>6337</v>
      </c>
      <c r="D112">
        <v>2899</v>
      </c>
      <c r="E112">
        <v>5</v>
      </c>
      <c r="F112" t="s">
        <v>15</v>
      </c>
      <c r="G112" t="s">
        <v>41</v>
      </c>
      <c r="H112" t="s">
        <v>34</v>
      </c>
      <c r="I112" s="2">
        <v>44542</v>
      </c>
      <c r="J112" t="s">
        <v>196</v>
      </c>
      <c r="K112" t="s">
        <v>44</v>
      </c>
      <c r="L112" t="s">
        <v>77</v>
      </c>
      <c r="M112" t="s">
        <v>92</v>
      </c>
      <c r="N112" t="str">
        <f t="shared" si="3"/>
        <v>December</v>
      </c>
    </row>
    <row r="113" spans="1:14" x14ac:dyDescent="0.3">
      <c r="A113" t="s">
        <v>197</v>
      </c>
      <c r="B113" s="1">
        <v>9109</v>
      </c>
      <c r="C113" s="1">
        <f t="shared" si="2"/>
        <v>8523</v>
      </c>
      <c r="D113">
        <v>586</v>
      </c>
      <c r="E113">
        <v>17</v>
      </c>
      <c r="F113" t="s">
        <v>47</v>
      </c>
      <c r="G113" t="s">
        <v>62</v>
      </c>
      <c r="H113" t="s">
        <v>42</v>
      </c>
      <c r="I113" s="2">
        <v>43968</v>
      </c>
      <c r="J113" t="s">
        <v>198</v>
      </c>
      <c r="K113" t="s">
        <v>19</v>
      </c>
      <c r="L113" t="s">
        <v>20</v>
      </c>
      <c r="M113" t="s">
        <v>61</v>
      </c>
      <c r="N113" t="str">
        <f t="shared" si="3"/>
        <v>May</v>
      </c>
    </row>
    <row r="114" spans="1:14" x14ac:dyDescent="0.3">
      <c r="A114" t="s">
        <v>199</v>
      </c>
      <c r="B114" s="1">
        <v>4358</v>
      </c>
      <c r="C114" s="1">
        <f t="shared" si="2"/>
        <v>3832</v>
      </c>
      <c r="D114">
        <v>526</v>
      </c>
      <c r="E114">
        <v>19</v>
      </c>
      <c r="F114" t="s">
        <v>15</v>
      </c>
      <c r="G114" t="s">
        <v>84</v>
      </c>
      <c r="H114" t="s">
        <v>49</v>
      </c>
      <c r="I114" s="2">
        <v>44900</v>
      </c>
      <c r="J114" t="s">
        <v>200</v>
      </c>
      <c r="K114" t="s">
        <v>73</v>
      </c>
      <c r="L114" t="s">
        <v>74</v>
      </c>
      <c r="M114" t="s">
        <v>154</v>
      </c>
      <c r="N114" t="str">
        <f t="shared" si="3"/>
        <v>December</v>
      </c>
    </row>
    <row r="115" spans="1:14" x14ac:dyDescent="0.3">
      <c r="A115" t="s">
        <v>199</v>
      </c>
      <c r="B115" s="1">
        <v>4358</v>
      </c>
      <c r="C115" s="1">
        <f t="shared" si="2"/>
        <v>3832</v>
      </c>
      <c r="D115">
        <v>526</v>
      </c>
      <c r="E115">
        <v>19</v>
      </c>
      <c r="F115" t="s">
        <v>15</v>
      </c>
      <c r="G115" t="s">
        <v>84</v>
      </c>
      <c r="H115" t="s">
        <v>49</v>
      </c>
      <c r="I115" s="2">
        <v>45552</v>
      </c>
      <c r="J115" t="s">
        <v>201</v>
      </c>
      <c r="K115" t="s">
        <v>44</v>
      </c>
      <c r="L115" t="s">
        <v>94</v>
      </c>
      <c r="M115" t="s">
        <v>161</v>
      </c>
      <c r="N115" t="str">
        <f t="shared" si="3"/>
        <v>September</v>
      </c>
    </row>
    <row r="116" spans="1:14" x14ac:dyDescent="0.3">
      <c r="A116" t="s">
        <v>199</v>
      </c>
      <c r="B116" s="1">
        <v>6459</v>
      </c>
      <c r="C116" s="1">
        <f t="shared" si="2"/>
        <v>5634</v>
      </c>
      <c r="D116">
        <v>825</v>
      </c>
      <c r="E116">
        <v>8</v>
      </c>
      <c r="F116" t="s">
        <v>15</v>
      </c>
      <c r="G116" t="s">
        <v>84</v>
      </c>
      <c r="H116" t="s">
        <v>49</v>
      </c>
      <c r="I116" s="2">
        <v>44900</v>
      </c>
      <c r="J116" t="s">
        <v>200</v>
      </c>
      <c r="K116" t="s">
        <v>73</v>
      </c>
      <c r="L116" t="s">
        <v>74</v>
      </c>
      <c r="M116" t="s">
        <v>154</v>
      </c>
      <c r="N116" t="str">
        <f t="shared" si="3"/>
        <v>December</v>
      </c>
    </row>
    <row r="117" spans="1:14" x14ac:dyDescent="0.3">
      <c r="A117" t="s">
        <v>199</v>
      </c>
      <c r="B117" s="1">
        <v>6459</v>
      </c>
      <c r="C117" s="1">
        <f t="shared" si="2"/>
        <v>5634</v>
      </c>
      <c r="D117">
        <v>825</v>
      </c>
      <c r="E117">
        <v>8</v>
      </c>
      <c r="F117" t="s">
        <v>15</v>
      </c>
      <c r="G117" t="s">
        <v>84</v>
      </c>
      <c r="H117" t="s">
        <v>49</v>
      </c>
      <c r="I117" s="2">
        <v>45552</v>
      </c>
      <c r="J117" t="s">
        <v>201</v>
      </c>
      <c r="K117" t="s">
        <v>44</v>
      </c>
      <c r="L117" t="s">
        <v>94</v>
      </c>
      <c r="M117" t="s">
        <v>161</v>
      </c>
      <c r="N117" t="str">
        <f t="shared" si="3"/>
        <v>September</v>
      </c>
    </row>
    <row r="118" spans="1:14" x14ac:dyDescent="0.3">
      <c r="A118" t="s">
        <v>202</v>
      </c>
      <c r="B118" s="1">
        <v>2478</v>
      </c>
      <c r="C118" s="1">
        <f t="shared" si="2"/>
        <v>2386</v>
      </c>
      <c r="D118">
        <v>92</v>
      </c>
      <c r="E118">
        <v>12</v>
      </c>
      <c r="F118" t="s">
        <v>47</v>
      </c>
      <c r="G118" t="s">
        <v>111</v>
      </c>
      <c r="H118" t="s">
        <v>67</v>
      </c>
      <c r="I118" s="2">
        <v>45054</v>
      </c>
      <c r="J118" t="s">
        <v>203</v>
      </c>
      <c r="K118" t="s">
        <v>44</v>
      </c>
      <c r="L118" t="s">
        <v>94</v>
      </c>
      <c r="M118" t="s">
        <v>129</v>
      </c>
      <c r="N118" t="str">
        <f t="shared" si="3"/>
        <v>May</v>
      </c>
    </row>
    <row r="119" spans="1:14" x14ac:dyDescent="0.3">
      <c r="A119" t="s">
        <v>202</v>
      </c>
      <c r="B119" s="1">
        <v>2478</v>
      </c>
      <c r="C119" s="1">
        <f t="shared" si="2"/>
        <v>2386</v>
      </c>
      <c r="D119">
        <v>92</v>
      </c>
      <c r="E119">
        <v>12</v>
      </c>
      <c r="F119" t="s">
        <v>47</v>
      </c>
      <c r="G119" t="s">
        <v>111</v>
      </c>
      <c r="H119" t="s">
        <v>67</v>
      </c>
      <c r="I119" s="2">
        <v>44258</v>
      </c>
      <c r="J119" t="s">
        <v>204</v>
      </c>
      <c r="K119" t="s">
        <v>27</v>
      </c>
      <c r="L119" t="s">
        <v>53</v>
      </c>
      <c r="M119" t="s">
        <v>169</v>
      </c>
      <c r="N119" t="str">
        <f t="shared" si="3"/>
        <v>March</v>
      </c>
    </row>
    <row r="120" spans="1:14" x14ac:dyDescent="0.3">
      <c r="A120" t="s">
        <v>202</v>
      </c>
      <c r="B120" s="1">
        <v>2478</v>
      </c>
      <c r="C120" s="1">
        <f t="shared" si="2"/>
        <v>2386</v>
      </c>
      <c r="D120">
        <v>92</v>
      </c>
      <c r="E120">
        <v>12</v>
      </c>
      <c r="F120" t="s">
        <v>47</v>
      </c>
      <c r="G120" t="s">
        <v>111</v>
      </c>
      <c r="H120" t="s">
        <v>67</v>
      </c>
      <c r="I120" s="2">
        <v>44273</v>
      </c>
      <c r="J120" t="s">
        <v>205</v>
      </c>
      <c r="K120" t="s">
        <v>44</v>
      </c>
      <c r="L120" t="s">
        <v>94</v>
      </c>
      <c r="M120" t="s">
        <v>169</v>
      </c>
      <c r="N120" t="str">
        <f t="shared" si="3"/>
        <v>March</v>
      </c>
    </row>
    <row r="121" spans="1:14" x14ac:dyDescent="0.3">
      <c r="A121" t="s">
        <v>202</v>
      </c>
      <c r="B121" s="1">
        <v>2478</v>
      </c>
      <c r="C121" s="1">
        <f t="shared" si="2"/>
        <v>2386</v>
      </c>
      <c r="D121">
        <v>92</v>
      </c>
      <c r="E121">
        <v>12</v>
      </c>
      <c r="F121" t="s">
        <v>47</v>
      </c>
      <c r="G121" t="s">
        <v>111</v>
      </c>
      <c r="H121" t="s">
        <v>67</v>
      </c>
      <c r="I121" s="2">
        <v>45040</v>
      </c>
      <c r="J121" t="s">
        <v>206</v>
      </c>
      <c r="K121" t="s">
        <v>100</v>
      </c>
      <c r="L121" t="s">
        <v>119</v>
      </c>
      <c r="M121" t="s">
        <v>147</v>
      </c>
      <c r="N121" t="str">
        <f t="shared" si="3"/>
        <v>April</v>
      </c>
    </row>
    <row r="122" spans="1:14" x14ac:dyDescent="0.3">
      <c r="A122" t="s">
        <v>207</v>
      </c>
      <c r="B122" s="1">
        <v>9992</v>
      </c>
      <c r="C122" s="1">
        <f t="shared" si="2"/>
        <v>6296</v>
      </c>
      <c r="D122">
        <v>3696</v>
      </c>
      <c r="E122">
        <v>20</v>
      </c>
      <c r="F122" t="s">
        <v>32</v>
      </c>
      <c r="G122" t="s">
        <v>33</v>
      </c>
      <c r="H122" t="s">
        <v>34</v>
      </c>
      <c r="I122" s="2">
        <v>44478</v>
      </c>
      <c r="J122" t="s">
        <v>208</v>
      </c>
      <c r="K122" t="s">
        <v>27</v>
      </c>
      <c r="L122" t="s">
        <v>70</v>
      </c>
      <c r="M122" t="s">
        <v>39</v>
      </c>
      <c r="N122" t="str">
        <f t="shared" si="3"/>
        <v>October</v>
      </c>
    </row>
    <row r="123" spans="1:14" x14ac:dyDescent="0.3">
      <c r="A123" t="s">
        <v>207</v>
      </c>
      <c r="B123" s="1">
        <v>9992</v>
      </c>
      <c r="C123" s="1">
        <f t="shared" si="2"/>
        <v>6296</v>
      </c>
      <c r="D123">
        <v>3696</v>
      </c>
      <c r="E123">
        <v>20</v>
      </c>
      <c r="F123" t="s">
        <v>32</v>
      </c>
      <c r="G123" t="s">
        <v>33</v>
      </c>
      <c r="H123" t="s">
        <v>34</v>
      </c>
      <c r="I123" s="2">
        <v>44666</v>
      </c>
      <c r="J123" t="s">
        <v>209</v>
      </c>
      <c r="K123" t="s">
        <v>73</v>
      </c>
      <c r="L123" t="s">
        <v>88</v>
      </c>
      <c r="M123" t="s">
        <v>189</v>
      </c>
      <c r="N123" t="str">
        <f t="shared" si="3"/>
        <v>April</v>
      </c>
    </row>
    <row r="124" spans="1:14" x14ac:dyDescent="0.3">
      <c r="A124" t="s">
        <v>207</v>
      </c>
      <c r="B124" s="1">
        <v>9992</v>
      </c>
      <c r="C124" s="1">
        <f t="shared" si="2"/>
        <v>6296</v>
      </c>
      <c r="D124">
        <v>3696</v>
      </c>
      <c r="E124">
        <v>20</v>
      </c>
      <c r="F124" t="s">
        <v>32</v>
      </c>
      <c r="G124" t="s">
        <v>33</v>
      </c>
      <c r="H124" t="s">
        <v>34</v>
      </c>
      <c r="I124" s="2">
        <v>44802</v>
      </c>
      <c r="J124" t="s">
        <v>210</v>
      </c>
      <c r="K124" t="s">
        <v>27</v>
      </c>
      <c r="L124" t="s">
        <v>70</v>
      </c>
      <c r="M124" t="s">
        <v>211</v>
      </c>
      <c r="N124" t="str">
        <f t="shared" si="3"/>
        <v>August</v>
      </c>
    </row>
    <row r="125" spans="1:14" x14ac:dyDescent="0.3">
      <c r="A125" t="s">
        <v>207</v>
      </c>
      <c r="B125" s="1">
        <v>9619</v>
      </c>
      <c r="C125" s="1">
        <f t="shared" si="2"/>
        <v>6199</v>
      </c>
      <c r="D125">
        <v>3420</v>
      </c>
      <c r="E125">
        <v>7</v>
      </c>
      <c r="F125" t="s">
        <v>32</v>
      </c>
      <c r="G125" t="s">
        <v>80</v>
      </c>
      <c r="H125" t="s">
        <v>17</v>
      </c>
      <c r="I125" s="2">
        <v>44478</v>
      </c>
      <c r="J125" t="s">
        <v>208</v>
      </c>
      <c r="K125" t="s">
        <v>27</v>
      </c>
      <c r="L125" t="s">
        <v>70</v>
      </c>
      <c r="M125" t="s">
        <v>39</v>
      </c>
      <c r="N125" t="str">
        <f t="shared" si="3"/>
        <v>October</v>
      </c>
    </row>
    <row r="126" spans="1:14" x14ac:dyDescent="0.3">
      <c r="A126" t="s">
        <v>207</v>
      </c>
      <c r="B126" s="1">
        <v>9619</v>
      </c>
      <c r="C126" s="1">
        <f t="shared" si="2"/>
        <v>6199</v>
      </c>
      <c r="D126">
        <v>3420</v>
      </c>
      <c r="E126">
        <v>7</v>
      </c>
      <c r="F126" t="s">
        <v>32</v>
      </c>
      <c r="G126" t="s">
        <v>80</v>
      </c>
      <c r="H126" t="s">
        <v>17</v>
      </c>
      <c r="I126" s="2">
        <v>44666</v>
      </c>
      <c r="J126" t="s">
        <v>209</v>
      </c>
      <c r="K126" t="s">
        <v>73</v>
      </c>
      <c r="L126" t="s">
        <v>88</v>
      </c>
      <c r="M126" t="s">
        <v>189</v>
      </c>
      <c r="N126" t="str">
        <f t="shared" si="3"/>
        <v>April</v>
      </c>
    </row>
    <row r="127" spans="1:14" x14ac:dyDescent="0.3">
      <c r="A127" t="s">
        <v>207</v>
      </c>
      <c r="B127" s="1">
        <v>9619</v>
      </c>
      <c r="C127" s="1">
        <f t="shared" si="2"/>
        <v>6199</v>
      </c>
      <c r="D127">
        <v>3420</v>
      </c>
      <c r="E127">
        <v>7</v>
      </c>
      <c r="F127" t="s">
        <v>32</v>
      </c>
      <c r="G127" t="s">
        <v>80</v>
      </c>
      <c r="H127" t="s">
        <v>17</v>
      </c>
      <c r="I127" s="2">
        <v>44802</v>
      </c>
      <c r="J127" t="s">
        <v>210</v>
      </c>
      <c r="K127" t="s">
        <v>27</v>
      </c>
      <c r="L127" t="s">
        <v>70</v>
      </c>
      <c r="M127" t="s">
        <v>211</v>
      </c>
      <c r="N127" t="str">
        <f t="shared" si="3"/>
        <v>August</v>
      </c>
    </row>
    <row r="128" spans="1:14" x14ac:dyDescent="0.3">
      <c r="A128" t="s">
        <v>212</v>
      </c>
      <c r="B128" s="1">
        <v>9538</v>
      </c>
      <c r="C128" s="1">
        <f t="shared" si="2"/>
        <v>6380</v>
      </c>
      <c r="D128">
        <v>3158</v>
      </c>
      <c r="E128">
        <v>20</v>
      </c>
      <c r="F128" t="s">
        <v>15</v>
      </c>
      <c r="G128" t="s">
        <v>30</v>
      </c>
      <c r="H128" t="s">
        <v>49</v>
      </c>
      <c r="I128" s="2">
        <v>45539</v>
      </c>
      <c r="J128" t="s">
        <v>213</v>
      </c>
      <c r="K128" t="s">
        <v>44</v>
      </c>
      <c r="L128" t="s">
        <v>94</v>
      </c>
      <c r="M128" t="s">
        <v>161</v>
      </c>
      <c r="N128" t="str">
        <f t="shared" si="3"/>
        <v>September</v>
      </c>
    </row>
    <row r="129" spans="1:14" x14ac:dyDescent="0.3">
      <c r="A129" t="s">
        <v>212</v>
      </c>
      <c r="B129" s="1">
        <v>9538</v>
      </c>
      <c r="C129" s="1">
        <f t="shared" si="2"/>
        <v>6380</v>
      </c>
      <c r="D129">
        <v>3158</v>
      </c>
      <c r="E129">
        <v>20</v>
      </c>
      <c r="F129" t="s">
        <v>15</v>
      </c>
      <c r="G129" t="s">
        <v>30</v>
      </c>
      <c r="H129" t="s">
        <v>49</v>
      </c>
      <c r="I129" s="2">
        <v>44334</v>
      </c>
      <c r="J129" t="s">
        <v>214</v>
      </c>
      <c r="K129" t="s">
        <v>100</v>
      </c>
      <c r="L129" t="s">
        <v>119</v>
      </c>
      <c r="M129" t="s">
        <v>110</v>
      </c>
      <c r="N129" t="str">
        <f t="shared" si="3"/>
        <v>May</v>
      </c>
    </row>
    <row r="130" spans="1:14" x14ac:dyDescent="0.3">
      <c r="A130" t="s">
        <v>212</v>
      </c>
      <c r="B130" s="1">
        <v>9035</v>
      </c>
      <c r="C130" s="1">
        <f t="shared" ref="C130:C193" si="4">B130-D130</f>
        <v>7808</v>
      </c>
      <c r="D130">
        <v>1227</v>
      </c>
      <c r="E130">
        <v>14</v>
      </c>
      <c r="F130" t="s">
        <v>47</v>
      </c>
      <c r="G130" t="s">
        <v>51</v>
      </c>
      <c r="H130" t="s">
        <v>42</v>
      </c>
      <c r="I130" s="2">
        <v>45539</v>
      </c>
      <c r="J130" t="s">
        <v>213</v>
      </c>
      <c r="K130" t="s">
        <v>44</v>
      </c>
      <c r="L130" t="s">
        <v>94</v>
      </c>
      <c r="M130" t="s">
        <v>161</v>
      </c>
      <c r="N130" t="str">
        <f t="shared" si="3"/>
        <v>September</v>
      </c>
    </row>
    <row r="131" spans="1:14" x14ac:dyDescent="0.3">
      <c r="A131" t="s">
        <v>212</v>
      </c>
      <c r="B131" s="1">
        <v>9035</v>
      </c>
      <c r="C131" s="1">
        <f t="shared" si="4"/>
        <v>7808</v>
      </c>
      <c r="D131">
        <v>1227</v>
      </c>
      <c r="E131">
        <v>14</v>
      </c>
      <c r="F131" t="s">
        <v>47</v>
      </c>
      <c r="G131" t="s">
        <v>51</v>
      </c>
      <c r="H131" t="s">
        <v>42</v>
      </c>
      <c r="I131" s="2">
        <v>44334</v>
      </c>
      <c r="J131" t="s">
        <v>214</v>
      </c>
      <c r="K131" t="s">
        <v>100</v>
      </c>
      <c r="L131" t="s">
        <v>119</v>
      </c>
      <c r="M131" t="s">
        <v>110</v>
      </c>
      <c r="N131" t="str">
        <f t="shared" ref="N131:N194" si="5">TEXT(DATE(LEFT(M131,4),RIGHT(M131,2),1),"mmmm")</f>
        <v>May</v>
      </c>
    </row>
    <row r="132" spans="1:14" x14ac:dyDescent="0.3">
      <c r="A132" t="s">
        <v>215</v>
      </c>
      <c r="B132" s="1">
        <v>2684</v>
      </c>
      <c r="C132" s="1">
        <f t="shared" si="4"/>
        <v>2014</v>
      </c>
      <c r="D132">
        <v>670</v>
      </c>
      <c r="E132">
        <v>2</v>
      </c>
      <c r="F132" t="s">
        <v>32</v>
      </c>
      <c r="G132" t="s">
        <v>66</v>
      </c>
      <c r="H132" t="s">
        <v>67</v>
      </c>
      <c r="I132" s="2">
        <v>45475</v>
      </c>
      <c r="J132" t="s">
        <v>216</v>
      </c>
      <c r="K132" t="s">
        <v>19</v>
      </c>
      <c r="L132" t="s">
        <v>152</v>
      </c>
      <c r="M132" t="s">
        <v>217</v>
      </c>
      <c r="N132" t="str">
        <f t="shared" si="5"/>
        <v>July</v>
      </c>
    </row>
    <row r="133" spans="1:14" x14ac:dyDescent="0.3">
      <c r="A133" t="s">
        <v>215</v>
      </c>
      <c r="B133" s="1">
        <v>822</v>
      </c>
      <c r="C133" s="1">
        <f t="shared" si="4"/>
        <v>675</v>
      </c>
      <c r="D133">
        <v>147</v>
      </c>
      <c r="E133">
        <v>5</v>
      </c>
      <c r="F133" t="s">
        <v>47</v>
      </c>
      <c r="G133" t="s">
        <v>62</v>
      </c>
      <c r="H133" t="s">
        <v>49</v>
      </c>
      <c r="I133" s="2">
        <v>45475</v>
      </c>
      <c r="J133" t="s">
        <v>216</v>
      </c>
      <c r="K133" t="s">
        <v>19</v>
      </c>
      <c r="L133" t="s">
        <v>152</v>
      </c>
      <c r="M133" t="s">
        <v>217</v>
      </c>
      <c r="N133" t="str">
        <f t="shared" si="5"/>
        <v>July</v>
      </c>
    </row>
    <row r="134" spans="1:14" x14ac:dyDescent="0.3">
      <c r="A134" t="s">
        <v>215</v>
      </c>
      <c r="B134" s="1">
        <v>9730</v>
      </c>
      <c r="C134" s="1">
        <f t="shared" si="4"/>
        <v>7389</v>
      </c>
      <c r="D134">
        <v>2341</v>
      </c>
      <c r="E134">
        <v>2</v>
      </c>
      <c r="F134" t="s">
        <v>47</v>
      </c>
      <c r="G134" t="s">
        <v>51</v>
      </c>
      <c r="H134" t="s">
        <v>42</v>
      </c>
      <c r="I134" s="2">
        <v>45475</v>
      </c>
      <c r="J134" t="s">
        <v>216</v>
      </c>
      <c r="K134" t="s">
        <v>19</v>
      </c>
      <c r="L134" t="s">
        <v>152</v>
      </c>
      <c r="M134" t="s">
        <v>217</v>
      </c>
      <c r="N134" t="str">
        <f t="shared" si="5"/>
        <v>July</v>
      </c>
    </row>
    <row r="135" spans="1:14" x14ac:dyDescent="0.3">
      <c r="A135" t="s">
        <v>215</v>
      </c>
      <c r="B135" s="1">
        <v>2483</v>
      </c>
      <c r="C135" s="1">
        <f t="shared" si="4"/>
        <v>2247</v>
      </c>
      <c r="D135">
        <v>236</v>
      </c>
      <c r="E135">
        <v>2</v>
      </c>
      <c r="F135" t="s">
        <v>15</v>
      </c>
      <c r="G135" t="s">
        <v>16</v>
      </c>
      <c r="H135" t="s">
        <v>67</v>
      </c>
      <c r="I135" s="2">
        <v>45475</v>
      </c>
      <c r="J135" t="s">
        <v>216</v>
      </c>
      <c r="K135" t="s">
        <v>19</v>
      </c>
      <c r="L135" t="s">
        <v>152</v>
      </c>
      <c r="M135" t="s">
        <v>217</v>
      </c>
      <c r="N135" t="str">
        <f t="shared" si="5"/>
        <v>July</v>
      </c>
    </row>
    <row r="136" spans="1:14" x14ac:dyDescent="0.3">
      <c r="A136" t="s">
        <v>218</v>
      </c>
      <c r="B136" s="1">
        <v>1297</v>
      </c>
      <c r="C136" s="1">
        <f t="shared" si="4"/>
        <v>697</v>
      </c>
      <c r="D136">
        <v>600</v>
      </c>
      <c r="E136">
        <v>7</v>
      </c>
      <c r="F136" t="s">
        <v>32</v>
      </c>
      <c r="G136" t="s">
        <v>80</v>
      </c>
      <c r="H136" t="s">
        <v>49</v>
      </c>
      <c r="I136" s="2">
        <v>45338</v>
      </c>
      <c r="J136" t="s">
        <v>219</v>
      </c>
      <c r="K136" t="s">
        <v>19</v>
      </c>
      <c r="L136" t="s">
        <v>36</v>
      </c>
      <c r="M136" t="s">
        <v>220</v>
      </c>
      <c r="N136" t="str">
        <f t="shared" si="5"/>
        <v>February</v>
      </c>
    </row>
    <row r="137" spans="1:14" x14ac:dyDescent="0.3">
      <c r="A137" t="s">
        <v>218</v>
      </c>
      <c r="B137" s="1">
        <v>7909</v>
      </c>
      <c r="C137" s="1">
        <f t="shared" si="4"/>
        <v>5967</v>
      </c>
      <c r="D137">
        <v>1942</v>
      </c>
      <c r="E137">
        <v>19</v>
      </c>
      <c r="F137" t="s">
        <v>15</v>
      </c>
      <c r="G137" t="s">
        <v>84</v>
      </c>
      <c r="H137" t="s">
        <v>67</v>
      </c>
      <c r="I137" s="2">
        <v>45338</v>
      </c>
      <c r="J137" t="s">
        <v>219</v>
      </c>
      <c r="K137" t="s">
        <v>19</v>
      </c>
      <c r="L137" t="s">
        <v>36</v>
      </c>
      <c r="M137" t="s">
        <v>220</v>
      </c>
      <c r="N137" t="str">
        <f t="shared" si="5"/>
        <v>February</v>
      </c>
    </row>
    <row r="138" spans="1:14" x14ac:dyDescent="0.3">
      <c r="A138" t="s">
        <v>221</v>
      </c>
      <c r="B138" s="1">
        <v>9768</v>
      </c>
      <c r="C138" s="1">
        <f t="shared" si="4"/>
        <v>5250</v>
      </c>
      <c r="D138">
        <v>4518</v>
      </c>
      <c r="E138">
        <v>8</v>
      </c>
      <c r="F138" t="s">
        <v>47</v>
      </c>
      <c r="G138" t="s">
        <v>48</v>
      </c>
      <c r="H138" t="s">
        <v>49</v>
      </c>
      <c r="I138" s="2">
        <v>44526</v>
      </c>
      <c r="J138" t="s">
        <v>222</v>
      </c>
      <c r="K138" t="s">
        <v>73</v>
      </c>
      <c r="L138" t="s">
        <v>74</v>
      </c>
      <c r="M138" t="s">
        <v>177</v>
      </c>
      <c r="N138" t="str">
        <f t="shared" si="5"/>
        <v>November</v>
      </c>
    </row>
    <row r="139" spans="1:14" x14ac:dyDescent="0.3">
      <c r="A139" t="s">
        <v>221</v>
      </c>
      <c r="B139" s="1">
        <v>4968</v>
      </c>
      <c r="C139" s="1">
        <f t="shared" si="4"/>
        <v>4034</v>
      </c>
      <c r="D139">
        <v>934</v>
      </c>
      <c r="E139">
        <v>5</v>
      </c>
      <c r="F139" t="s">
        <v>47</v>
      </c>
      <c r="G139" t="s">
        <v>62</v>
      </c>
      <c r="H139" t="s">
        <v>34</v>
      </c>
      <c r="I139" s="2">
        <v>44526</v>
      </c>
      <c r="J139" t="s">
        <v>222</v>
      </c>
      <c r="K139" t="s">
        <v>73</v>
      </c>
      <c r="L139" t="s">
        <v>74</v>
      </c>
      <c r="M139" t="s">
        <v>177</v>
      </c>
      <c r="N139" t="str">
        <f t="shared" si="5"/>
        <v>November</v>
      </c>
    </row>
    <row r="140" spans="1:14" x14ac:dyDescent="0.3">
      <c r="A140" t="s">
        <v>221</v>
      </c>
      <c r="B140" s="1">
        <v>1731</v>
      </c>
      <c r="C140" s="1">
        <f t="shared" si="4"/>
        <v>1582</v>
      </c>
      <c r="D140">
        <v>149</v>
      </c>
      <c r="E140">
        <v>4</v>
      </c>
      <c r="F140" t="s">
        <v>15</v>
      </c>
      <c r="G140" t="s">
        <v>41</v>
      </c>
      <c r="H140" t="s">
        <v>42</v>
      </c>
      <c r="I140" s="2">
        <v>44526</v>
      </c>
      <c r="J140" t="s">
        <v>222</v>
      </c>
      <c r="K140" t="s">
        <v>73</v>
      </c>
      <c r="L140" t="s">
        <v>74</v>
      </c>
      <c r="M140" t="s">
        <v>177</v>
      </c>
      <c r="N140" t="str">
        <f t="shared" si="5"/>
        <v>November</v>
      </c>
    </row>
    <row r="141" spans="1:14" x14ac:dyDescent="0.3">
      <c r="A141" t="s">
        <v>223</v>
      </c>
      <c r="B141" s="1">
        <v>3433</v>
      </c>
      <c r="C141" s="1">
        <f t="shared" si="4"/>
        <v>2264</v>
      </c>
      <c r="D141">
        <v>1169</v>
      </c>
      <c r="E141">
        <v>10</v>
      </c>
      <c r="F141" t="s">
        <v>32</v>
      </c>
      <c r="G141" t="s">
        <v>80</v>
      </c>
      <c r="H141" t="s">
        <v>67</v>
      </c>
      <c r="I141" s="2">
        <v>45323</v>
      </c>
      <c r="J141" t="s">
        <v>224</v>
      </c>
      <c r="K141" t="s">
        <v>44</v>
      </c>
      <c r="L141" t="s">
        <v>94</v>
      </c>
      <c r="M141" t="s">
        <v>220</v>
      </c>
      <c r="N141" t="str">
        <f t="shared" si="5"/>
        <v>February</v>
      </c>
    </row>
    <row r="142" spans="1:14" x14ac:dyDescent="0.3">
      <c r="A142" t="s">
        <v>223</v>
      </c>
      <c r="B142" s="1">
        <v>3433</v>
      </c>
      <c r="C142" s="1">
        <f t="shared" si="4"/>
        <v>2264</v>
      </c>
      <c r="D142">
        <v>1169</v>
      </c>
      <c r="E142">
        <v>10</v>
      </c>
      <c r="F142" t="s">
        <v>32</v>
      </c>
      <c r="G142" t="s">
        <v>80</v>
      </c>
      <c r="H142" t="s">
        <v>67</v>
      </c>
      <c r="I142" s="2">
        <v>44448</v>
      </c>
      <c r="J142" t="s">
        <v>225</v>
      </c>
      <c r="K142" t="s">
        <v>23</v>
      </c>
      <c r="L142" t="s">
        <v>65</v>
      </c>
      <c r="M142" t="s">
        <v>226</v>
      </c>
      <c r="N142" t="str">
        <f t="shared" si="5"/>
        <v>September</v>
      </c>
    </row>
    <row r="143" spans="1:14" x14ac:dyDescent="0.3">
      <c r="A143" t="s">
        <v>223</v>
      </c>
      <c r="B143" s="1">
        <v>3433</v>
      </c>
      <c r="C143" s="1">
        <f t="shared" si="4"/>
        <v>2264</v>
      </c>
      <c r="D143">
        <v>1169</v>
      </c>
      <c r="E143">
        <v>10</v>
      </c>
      <c r="F143" t="s">
        <v>32</v>
      </c>
      <c r="G143" t="s">
        <v>80</v>
      </c>
      <c r="H143" t="s">
        <v>67</v>
      </c>
      <c r="I143" s="2">
        <v>44447</v>
      </c>
      <c r="J143" t="s">
        <v>227</v>
      </c>
      <c r="K143" t="s">
        <v>44</v>
      </c>
      <c r="L143" t="s">
        <v>77</v>
      </c>
      <c r="M143" t="s">
        <v>226</v>
      </c>
      <c r="N143" t="str">
        <f t="shared" si="5"/>
        <v>September</v>
      </c>
    </row>
    <row r="144" spans="1:14" x14ac:dyDescent="0.3">
      <c r="A144" t="s">
        <v>223</v>
      </c>
      <c r="B144" s="1">
        <v>3887</v>
      </c>
      <c r="C144" s="1">
        <f t="shared" si="4"/>
        <v>2397</v>
      </c>
      <c r="D144">
        <v>1490</v>
      </c>
      <c r="E144">
        <v>1</v>
      </c>
      <c r="F144" t="s">
        <v>32</v>
      </c>
      <c r="G144" t="s">
        <v>80</v>
      </c>
      <c r="H144" t="s">
        <v>34</v>
      </c>
      <c r="I144" s="2">
        <v>45323</v>
      </c>
      <c r="J144" t="s">
        <v>224</v>
      </c>
      <c r="K144" t="s">
        <v>44</v>
      </c>
      <c r="L144" t="s">
        <v>94</v>
      </c>
      <c r="M144" t="s">
        <v>220</v>
      </c>
      <c r="N144" t="str">
        <f t="shared" si="5"/>
        <v>February</v>
      </c>
    </row>
    <row r="145" spans="1:14" x14ac:dyDescent="0.3">
      <c r="A145" t="s">
        <v>223</v>
      </c>
      <c r="B145" s="1">
        <v>3887</v>
      </c>
      <c r="C145" s="1">
        <f t="shared" si="4"/>
        <v>2397</v>
      </c>
      <c r="D145">
        <v>1490</v>
      </c>
      <c r="E145">
        <v>1</v>
      </c>
      <c r="F145" t="s">
        <v>32</v>
      </c>
      <c r="G145" t="s">
        <v>80</v>
      </c>
      <c r="H145" t="s">
        <v>34</v>
      </c>
      <c r="I145" s="2">
        <v>44448</v>
      </c>
      <c r="J145" t="s">
        <v>225</v>
      </c>
      <c r="K145" t="s">
        <v>23</v>
      </c>
      <c r="L145" t="s">
        <v>65</v>
      </c>
      <c r="M145" t="s">
        <v>226</v>
      </c>
      <c r="N145" t="str">
        <f t="shared" si="5"/>
        <v>September</v>
      </c>
    </row>
    <row r="146" spans="1:14" x14ac:dyDescent="0.3">
      <c r="A146" t="s">
        <v>223</v>
      </c>
      <c r="B146" s="1">
        <v>3887</v>
      </c>
      <c r="C146" s="1">
        <f t="shared" si="4"/>
        <v>2397</v>
      </c>
      <c r="D146">
        <v>1490</v>
      </c>
      <c r="E146">
        <v>1</v>
      </c>
      <c r="F146" t="s">
        <v>32</v>
      </c>
      <c r="G146" t="s">
        <v>80</v>
      </c>
      <c r="H146" t="s">
        <v>34</v>
      </c>
      <c r="I146" s="2">
        <v>44447</v>
      </c>
      <c r="J146" t="s">
        <v>227</v>
      </c>
      <c r="K146" t="s">
        <v>44</v>
      </c>
      <c r="L146" t="s">
        <v>77</v>
      </c>
      <c r="M146" t="s">
        <v>226</v>
      </c>
      <c r="N146" t="str">
        <f t="shared" si="5"/>
        <v>September</v>
      </c>
    </row>
    <row r="147" spans="1:14" x14ac:dyDescent="0.3">
      <c r="A147" t="s">
        <v>228</v>
      </c>
      <c r="B147" s="1">
        <v>1801</v>
      </c>
      <c r="C147" s="1">
        <f t="shared" si="4"/>
        <v>1160</v>
      </c>
      <c r="D147">
        <v>641</v>
      </c>
      <c r="E147">
        <v>20</v>
      </c>
      <c r="F147" t="s">
        <v>32</v>
      </c>
      <c r="G147" t="s">
        <v>59</v>
      </c>
      <c r="H147" t="s">
        <v>49</v>
      </c>
      <c r="I147" s="2">
        <v>45482</v>
      </c>
      <c r="J147" t="s">
        <v>229</v>
      </c>
      <c r="K147" t="s">
        <v>44</v>
      </c>
      <c r="L147" t="s">
        <v>45</v>
      </c>
      <c r="M147" t="s">
        <v>217</v>
      </c>
      <c r="N147" t="str">
        <f t="shared" si="5"/>
        <v>July</v>
      </c>
    </row>
    <row r="148" spans="1:14" x14ac:dyDescent="0.3">
      <c r="A148" t="s">
        <v>228</v>
      </c>
      <c r="B148" s="1">
        <v>5301</v>
      </c>
      <c r="C148" s="1">
        <f t="shared" si="4"/>
        <v>4484</v>
      </c>
      <c r="D148">
        <v>817</v>
      </c>
      <c r="E148">
        <v>10</v>
      </c>
      <c r="F148" t="s">
        <v>47</v>
      </c>
      <c r="G148" t="s">
        <v>48</v>
      </c>
      <c r="H148" t="s">
        <v>34</v>
      </c>
      <c r="I148" s="2">
        <v>45482</v>
      </c>
      <c r="J148" t="s">
        <v>229</v>
      </c>
      <c r="K148" t="s">
        <v>44</v>
      </c>
      <c r="L148" t="s">
        <v>45</v>
      </c>
      <c r="M148" t="s">
        <v>217</v>
      </c>
      <c r="N148" t="str">
        <f t="shared" si="5"/>
        <v>July</v>
      </c>
    </row>
    <row r="149" spans="1:14" x14ac:dyDescent="0.3">
      <c r="A149" t="s">
        <v>228</v>
      </c>
      <c r="B149" s="1">
        <v>1166</v>
      </c>
      <c r="C149" s="1">
        <f t="shared" si="4"/>
        <v>646</v>
      </c>
      <c r="D149">
        <v>520</v>
      </c>
      <c r="E149">
        <v>12</v>
      </c>
      <c r="F149" t="s">
        <v>32</v>
      </c>
      <c r="G149" t="s">
        <v>66</v>
      </c>
      <c r="H149" t="s">
        <v>34</v>
      </c>
      <c r="I149" s="2">
        <v>45482</v>
      </c>
      <c r="J149" t="s">
        <v>229</v>
      </c>
      <c r="K149" t="s">
        <v>44</v>
      </c>
      <c r="L149" t="s">
        <v>45</v>
      </c>
      <c r="M149" t="s">
        <v>217</v>
      </c>
      <c r="N149" t="str">
        <f t="shared" si="5"/>
        <v>July</v>
      </c>
    </row>
    <row r="150" spans="1:14" x14ac:dyDescent="0.3">
      <c r="A150" t="s">
        <v>228</v>
      </c>
      <c r="B150" s="1">
        <v>3196</v>
      </c>
      <c r="C150" s="1">
        <f t="shared" si="4"/>
        <v>1785</v>
      </c>
      <c r="D150">
        <v>1411</v>
      </c>
      <c r="E150">
        <v>15</v>
      </c>
      <c r="F150" t="s">
        <v>32</v>
      </c>
      <c r="G150" t="s">
        <v>66</v>
      </c>
      <c r="H150" t="s">
        <v>34</v>
      </c>
      <c r="I150" s="2">
        <v>45482</v>
      </c>
      <c r="J150" t="s">
        <v>229</v>
      </c>
      <c r="K150" t="s">
        <v>44</v>
      </c>
      <c r="L150" t="s">
        <v>45</v>
      </c>
      <c r="M150" t="s">
        <v>217</v>
      </c>
      <c r="N150" t="str">
        <f t="shared" si="5"/>
        <v>July</v>
      </c>
    </row>
    <row r="151" spans="1:14" x14ac:dyDescent="0.3">
      <c r="A151" t="s">
        <v>230</v>
      </c>
      <c r="B151" s="1">
        <v>3428</v>
      </c>
      <c r="C151" s="1">
        <f t="shared" si="4"/>
        <v>3078</v>
      </c>
      <c r="D151">
        <v>350</v>
      </c>
      <c r="E151">
        <v>1</v>
      </c>
      <c r="F151" t="s">
        <v>47</v>
      </c>
      <c r="G151" t="s">
        <v>51</v>
      </c>
      <c r="H151" t="s">
        <v>49</v>
      </c>
      <c r="I151" s="2">
        <v>44985</v>
      </c>
      <c r="J151" t="s">
        <v>231</v>
      </c>
      <c r="K151" t="s">
        <v>23</v>
      </c>
      <c r="L151" t="s">
        <v>65</v>
      </c>
      <c r="M151" t="s">
        <v>95</v>
      </c>
      <c r="N151" t="str">
        <f t="shared" si="5"/>
        <v>February</v>
      </c>
    </row>
    <row r="152" spans="1:14" x14ac:dyDescent="0.3">
      <c r="A152" t="s">
        <v>230</v>
      </c>
      <c r="B152" s="1">
        <v>7223</v>
      </c>
      <c r="C152" s="1">
        <f t="shared" si="4"/>
        <v>4790</v>
      </c>
      <c r="D152">
        <v>2433</v>
      </c>
      <c r="E152">
        <v>12</v>
      </c>
      <c r="F152" t="s">
        <v>32</v>
      </c>
      <c r="G152" t="s">
        <v>80</v>
      </c>
      <c r="H152" t="s">
        <v>49</v>
      </c>
      <c r="I152" s="2">
        <v>44985</v>
      </c>
      <c r="J152" t="s">
        <v>231</v>
      </c>
      <c r="K152" t="s">
        <v>23</v>
      </c>
      <c r="L152" t="s">
        <v>65</v>
      </c>
      <c r="M152" t="s">
        <v>95</v>
      </c>
      <c r="N152" t="str">
        <f t="shared" si="5"/>
        <v>February</v>
      </c>
    </row>
    <row r="153" spans="1:14" x14ac:dyDescent="0.3">
      <c r="A153" t="s">
        <v>230</v>
      </c>
      <c r="B153" s="1">
        <v>3731</v>
      </c>
      <c r="C153" s="1">
        <f t="shared" si="4"/>
        <v>3084</v>
      </c>
      <c r="D153">
        <v>647</v>
      </c>
      <c r="E153">
        <v>1</v>
      </c>
      <c r="F153" t="s">
        <v>32</v>
      </c>
      <c r="G153" t="s">
        <v>33</v>
      </c>
      <c r="H153" t="s">
        <v>49</v>
      </c>
      <c r="I153" s="2">
        <v>44985</v>
      </c>
      <c r="J153" t="s">
        <v>231</v>
      </c>
      <c r="K153" t="s">
        <v>23</v>
      </c>
      <c r="L153" t="s">
        <v>65</v>
      </c>
      <c r="M153" t="s">
        <v>95</v>
      </c>
      <c r="N153" t="str">
        <f t="shared" si="5"/>
        <v>February</v>
      </c>
    </row>
    <row r="154" spans="1:14" x14ac:dyDescent="0.3">
      <c r="A154" t="s">
        <v>232</v>
      </c>
      <c r="B154" s="1">
        <v>8903</v>
      </c>
      <c r="C154" s="1">
        <f t="shared" si="4"/>
        <v>4502</v>
      </c>
      <c r="D154">
        <v>4401</v>
      </c>
      <c r="E154">
        <v>18</v>
      </c>
      <c r="F154" t="s">
        <v>32</v>
      </c>
      <c r="G154" t="s">
        <v>33</v>
      </c>
      <c r="H154" t="s">
        <v>49</v>
      </c>
      <c r="I154" s="2">
        <v>44781</v>
      </c>
      <c r="J154" t="s">
        <v>233</v>
      </c>
      <c r="K154" t="s">
        <v>100</v>
      </c>
      <c r="L154" t="s">
        <v>101</v>
      </c>
      <c r="M154" t="s">
        <v>211</v>
      </c>
      <c r="N154" t="str">
        <f t="shared" si="5"/>
        <v>August</v>
      </c>
    </row>
    <row r="155" spans="1:14" x14ac:dyDescent="0.3">
      <c r="A155" t="s">
        <v>234</v>
      </c>
      <c r="B155" s="1">
        <v>6009</v>
      </c>
      <c r="C155" s="1">
        <f t="shared" si="4"/>
        <v>3902</v>
      </c>
      <c r="D155">
        <v>2107</v>
      </c>
      <c r="E155">
        <v>7</v>
      </c>
      <c r="F155" t="s">
        <v>15</v>
      </c>
      <c r="G155" t="s">
        <v>84</v>
      </c>
      <c r="H155" t="s">
        <v>17</v>
      </c>
      <c r="I155" s="2">
        <v>44902</v>
      </c>
      <c r="J155" t="s">
        <v>235</v>
      </c>
      <c r="K155" t="s">
        <v>23</v>
      </c>
      <c r="L155" t="s">
        <v>24</v>
      </c>
      <c r="M155" t="s">
        <v>154</v>
      </c>
      <c r="N155" t="str">
        <f t="shared" si="5"/>
        <v>December</v>
      </c>
    </row>
    <row r="156" spans="1:14" x14ac:dyDescent="0.3">
      <c r="A156" t="s">
        <v>234</v>
      </c>
      <c r="B156" s="1">
        <v>6009</v>
      </c>
      <c r="C156" s="1">
        <f t="shared" si="4"/>
        <v>3902</v>
      </c>
      <c r="D156">
        <v>2107</v>
      </c>
      <c r="E156">
        <v>7</v>
      </c>
      <c r="F156" t="s">
        <v>15</v>
      </c>
      <c r="G156" t="s">
        <v>84</v>
      </c>
      <c r="H156" t="s">
        <v>17</v>
      </c>
      <c r="I156" s="2">
        <v>45411</v>
      </c>
      <c r="J156" t="s">
        <v>236</v>
      </c>
      <c r="K156" t="s">
        <v>73</v>
      </c>
      <c r="L156" t="s">
        <v>88</v>
      </c>
      <c r="M156" t="s">
        <v>237</v>
      </c>
      <c r="N156" t="str">
        <f t="shared" si="5"/>
        <v>April</v>
      </c>
    </row>
    <row r="157" spans="1:14" x14ac:dyDescent="0.3">
      <c r="A157" t="s">
        <v>234</v>
      </c>
      <c r="B157" s="1">
        <v>2858</v>
      </c>
      <c r="C157" s="1">
        <f t="shared" si="4"/>
        <v>2628</v>
      </c>
      <c r="D157">
        <v>230</v>
      </c>
      <c r="E157">
        <v>3</v>
      </c>
      <c r="F157" t="s">
        <v>47</v>
      </c>
      <c r="G157" t="s">
        <v>48</v>
      </c>
      <c r="H157" t="s">
        <v>49</v>
      </c>
      <c r="I157" s="2">
        <v>44902</v>
      </c>
      <c r="J157" t="s">
        <v>235</v>
      </c>
      <c r="K157" t="s">
        <v>23</v>
      </c>
      <c r="L157" t="s">
        <v>24</v>
      </c>
      <c r="M157" t="s">
        <v>154</v>
      </c>
      <c r="N157" t="str">
        <f t="shared" si="5"/>
        <v>December</v>
      </c>
    </row>
    <row r="158" spans="1:14" x14ac:dyDescent="0.3">
      <c r="A158" t="s">
        <v>234</v>
      </c>
      <c r="B158" s="1">
        <v>2858</v>
      </c>
      <c r="C158" s="1">
        <f t="shared" si="4"/>
        <v>2628</v>
      </c>
      <c r="D158">
        <v>230</v>
      </c>
      <c r="E158">
        <v>3</v>
      </c>
      <c r="F158" t="s">
        <v>47</v>
      </c>
      <c r="G158" t="s">
        <v>48</v>
      </c>
      <c r="H158" t="s">
        <v>49</v>
      </c>
      <c r="I158" s="2">
        <v>45411</v>
      </c>
      <c r="J158" t="s">
        <v>236</v>
      </c>
      <c r="K158" t="s">
        <v>73</v>
      </c>
      <c r="L158" t="s">
        <v>88</v>
      </c>
      <c r="M158" t="s">
        <v>237</v>
      </c>
      <c r="N158" t="str">
        <f t="shared" si="5"/>
        <v>April</v>
      </c>
    </row>
    <row r="159" spans="1:14" x14ac:dyDescent="0.3">
      <c r="A159" t="s">
        <v>234</v>
      </c>
      <c r="B159" s="1">
        <v>8175</v>
      </c>
      <c r="C159" s="1">
        <f t="shared" si="4"/>
        <v>7650</v>
      </c>
      <c r="D159">
        <v>525</v>
      </c>
      <c r="E159">
        <v>7</v>
      </c>
      <c r="F159" t="s">
        <v>47</v>
      </c>
      <c r="G159" t="s">
        <v>62</v>
      </c>
      <c r="H159" t="s">
        <v>49</v>
      </c>
      <c r="I159" s="2">
        <v>44902</v>
      </c>
      <c r="J159" t="s">
        <v>235</v>
      </c>
      <c r="K159" t="s">
        <v>23</v>
      </c>
      <c r="L159" t="s">
        <v>24</v>
      </c>
      <c r="M159" t="s">
        <v>154</v>
      </c>
      <c r="N159" t="str">
        <f t="shared" si="5"/>
        <v>December</v>
      </c>
    </row>
    <row r="160" spans="1:14" x14ac:dyDescent="0.3">
      <c r="A160" t="s">
        <v>234</v>
      </c>
      <c r="B160" s="1">
        <v>8175</v>
      </c>
      <c r="C160" s="1">
        <f t="shared" si="4"/>
        <v>7650</v>
      </c>
      <c r="D160">
        <v>525</v>
      </c>
      <c r="E160">
        <v>7</v>
      </c>
      <c r="F160" t="s">
        <v>47</v>
      </c>
      <c r="G160" t="s">
        <v>62</v>
      </c>
      <c r="H160" t="s">
        <v>49</v>
      </c>
      <c r="I160" s="2">
        <v>45411</v>
      </c>
      <c r="J160" t="s">
        <v>236</v>
      </c>
      <c r="K160" t="s">
        <v>73</v>
      </c>
      <c r="L160" t="s">
        <v>88</v>
      </c>
      <c r="M160" t="s">
        <v>237</v>
      </c>
      <c r="N160" t="str">
        <f t="shared" si="5"/>
        <v>April</v>
      </c>
    </row>
    <row r="161" spans="1:14" x14ac:dyDescent="0.3">
      <c r="A161" t="s">
        <v>234</v>
      </c>
      <c r="B161" s="1">
        <v>5846</v>
      </c>
      <c r="C161" s="1">
        <f t="shared" si="4"/>
        <v>5260</v>
      </c>
      <c r="D161">
        <v>586</v>
      </c>
      <c r="E161">
        <v>18</v>
      </c>
      <c r="F161" t="s">
        <v>47</v>
      </c>
      <c r="G161" t="s">
        <v>62</v>
      </c>
      <c r="H161" t="s">
        <v>17</v>
      </c>
      <c r="I161" s="2">
        <v>44902</v>
      </c>
      <c r="J161" t="s">
        <v>235</v>
      </c>
      <c r="K161" t="s">
        <v>23</v>
      </c>
      <c r="L161" t="s">
        <v>24</v>
      </c>
      <c r="M161" t="s">
        <v>154</v>
      </c>
      <c r="N161" t="str">
        <f t="shared" si="5"/>
        <v>December</v>
      </c>
    </row>
    <row r="162" spans="1:14" x14ac:dyDescent="0.3">
      <c r="A162" t="s">
        <v>234</v>
      </c>
      <c r="B162" s="1">
        <v>5846</v>
      </c>
      <c r="C162" s="1">
        <f t="shared" si="4"/>
        <v>5260</v>
      </c>
      <c r="D162">
        <v>586</v>
      </c>
      <c r="E162">
        <v>18</v>
      </c>
      <c r="F162" t="s">
        <v>47</v>
      </c>
      <c r="G162" t="s">
        <v>62</v>
      </c>
      <c r="H162" t="s">
        <v>17</v>
      </c>
      <c r="I162" s="2">
        <v>45411</v>
      </c>
      <c r="J162" t="s">
        <v>236</v>
      </c>
      <c r="K162" t="s">
        <v>73</v>
      </c>
      <c r="L162" t="s">
        <v>88</v>
      </c>
      <c r="M162" t="s">
        <v>237</v>
      </c>
      <c r="N162" t="str">
        <f t="shared" si="5"/>
        <v>April</v>
      </c>
    </row>
    <row r="163" spans="1:14" x14ac:dyDescent="0.3">
      <c r="A163" t="s">
        <v>238</v>
      </c>
      <c r="B163" s="1">
        <v>706</v>
      </c>
      <c r="C163" s="1">
        <f t="shared" si="4"/>
        <v>509</v>
      </c>
      <c r="D163">
        <v>197</v>
      </c>
      <c r="E163">
        <v>11</v>
      </c>
      <c r="F163" t="s">
        <v>15</v>
      </c>
      <c r="G163" t="s">
        <v>41</v>
      </c>
      <c r="H163" t="s">
        <v>49</v>
      </c>
      <c r="I163" s="2">
        <v>44563</v>
      </c>
      <c r="J163" t="s">
        <v>239</v>
      </c>
      <c r="K163" t="s">
        <v>73</v>
      </c>
      <c r="L163" t="s">
        <v>88</v>
      </c>
      <c r="M163" t="s">
        <v>89</v>
      </c>
      <c r="N163" t="str">
        <f t="shared" si="5"/>
        <v>January</v>
      </c>
    </row>
    <row r="164" spans="1:14" x14ac:dyDescent="0.3">
      <c r="A164" t="s">
        <v>240</v>
      </c>
      <c r="B164" s="1">
        <v>9835</v>
      </c>
      <c r="C164" s="1">
        <f t="shared" si="4"/>
        <v>7264</v>
      </c>
      <c r="D164">
        <v>2571</v>
      </c>
      <c r="E164">
        <v>16</v>
      </c>
      <c r="F164" t="s">
        <v>47</v>
      </c>
      <c r="G164" t="s">
        <v>48</v>
      </c>
      <c r="H164" t="s">
        <v>67</v>
      </c>
      <c r="I164" s="2">
        <v>44722</v>
      </c>
      <c r="J164" t="s">
        <v>241</v>
      </c>
      <c r="K164" t="s">
        <v>73</v>
      </c>
      <c r="L164" t="s">
        <v>74</v>
      </c>
      <c r="M164" t="s">
        <v>167</v>
      </c>
      <c r="N164" t="str">
        <f t="shared" si="5"/>
        <v>June</v>
      </c>
    </row>
    <row r="165" spans="1:14" x14ac:dyDescent="0.3">
      <c r="A165" t="s">
        <v>240</v>
      </c>
      <c r="B165" s="1">
        <v>9835</v>
      </c>
      <c r="C165" s="1">
        <f t="shared" si="4"/>
        <v>7264</v>
      </c>
      <c r="D165">
        <v>2571</v>
      </c>
      <c r="E165">
        <v>16</v>
      </c>
      <c r="F165" t="s">
        <v>47</v>
      </c>
      <c r="G165" t="s">
        <v>48</v>
      </c>
      <c r="H165" t="s">
        <v>67</v>
      </c>
      <c r="I165" s="2">
        <v>44516</v>
      </c>
      <c r="J165" t="s">
        <v>242</v>
      </c>
      <c r="K165" t="s">
        <v>19</v>
      </c>
      <c r="L165" t="s">
        <v>36</v>
      </c>
      <c r="M165" t="s">
        <v>177</v>
      </c>
      <c r="N165" t="str">
        <f t="shared" si="5"/>
        <v>November</v>
      </c>
    </row>
    <row r="166" spans="1:14" x14ac:dyDescent="0.3">
      <c r="A166" t="s">
        <v>240</v>
      </c>
      <c r="B166" s="1">
        <v>9835</v>
      </c>
      <c r="C166" s="1">
        <f t="shared" si="4"/>
        <v>7264</v>
      </c>
      <c r="D166">
        <v>2571</v>
      </c>
      <c r="E166">
        <v>16</v>
      </c>
      <c r="F166" t="s">
        <v>47</v>
      </c>
      <c r="G166" t="s">
        <v>48</v>
      </c>
      <c r="H166" t="s">
        <v>67</v>
      </c>
      <c r="I166" s="2">
        <v>44790</v>
      </c>
      <c r="J166" t="s">
        <v>243</v>
      </c>
      <c r="K166" t="s">
        <v>44</v>
      </c>
      <c r="L166" t="s">
        <v>45</v>
      </c>
      <c r="M166" t="s">
        <v>211</v>
      </c>
      <c r="N166" t="str">
        <f t="shared" si="5"/>
        <v>August</v>
      </c>
    </row>
    <row r="167" spans="1:14" x14ac:dyDescent="0.3">
      <c r="A167" t="s">
        <v>240</v>
      </c>
      <c r="B167" s="1">
        <v>9691</v>
      </c>
      <c r="C167" s="1">
        <f t="shared" si="4"/>
        <v>6635</v>
      </c>
      <c r="D167">
        <v>3056</v>
      </c>
      <c r="E167">
        <v>13</v>
      </c>
      <c r="F167" t="s">
        <v>32</v>
      </c>
      <c r="G167" t="s">
        <v>59</v>
      </c>
      <c r="H167" t="s">
        <v>49</v>
      </c>
      <c r="I167" s="2">
        <v>44722</v>
      </c>
      <c r="J167" t="s">
        <v>241</v>
      </c>
      <c r="K167" t="s">
        <v>73</v>
      </c>
      <c r="L167" t="s">
        <v>74</v>
      </c>
      <c r="M167" t="s">
        <v>167</v>
      </c>
      <c r="N167" t="str">
        <f t="shared" si="5"/>
        <v>June</v>
      </c>
    </row>
    <row r="168" spans="1:14" x14ac:dyDescent="0.3">
      <c r="A168" t="s">
        <v>240</v>
      </c>
      <c r="B168" s="1">
        <v>9691</v>
      </c>
      <c r="C168" s="1">
        <f t="shared" si="4"/>
        <v>6635</v>
      </c>
      <c r="D168">
        <v>3056</v>
      </c>
      <c r="E168">
        <v>13</v>
      </c>
      <c r="F168" t="s">
        <v>32</v>
      </c>
      <c r="G168" t="s">
        <v>59</v>
      </c>
      <c r="H168" t="s">
        <v>49</v>
      </c>
      <c r="I168" s="2">
        <v>44516</v>
      </c>
      <c r="J168" t="s">
        <v>242</v>
      </c>
      <c r="K168" t="s">
        <v>19</v>
      </c>
      <c r="L168" t="s">
        <v>36</v>
      </c>
      <c r="M168" t="s">
        <v>177</v>
      </c>
      <c r="N168" t="str">
        <f t="shared" si="5"/>
        <v>November</v>
      </c>
    </row>
    <row r="169" spans="1:14" x14ac:dyDescent="0.3">
      <c r="A169" t="s">
        <v>240</v>
      </c>
      <c r="B169" s="1">
        <v>9691</v>
      </c>
      <c r="C169" s="1">
        <f t="shared" si="4"/>
        <v>6635</v>
      </c>
      <c r="D169">
        <v>3056</v>
      </c>
      <c r="E169">
        <v>13</v>
      </c>
      <c r="F169" t="s">
        <v>32</v>
      </c>
      <c r="G169" t="s">
        <v>59</v>
      </c>
      <c r="H169" t="s">
        <v>49</v>
      </c>
      <c r="I169" s="2">
        <v>44790</v>
      </c>
      <c r="J169" t="s">
        <v>243</v>
      </c>
      <c r="K169" t="s">
        <v>44</v>
      </c>
      <c r="L169" t="s">
        <v>45</v>
      </c>
      <c r="M169" t="s">
        <v>211</v>
      </c>
      <c r="N169" t="str">
        <f t="shared" si="5"/>
        <v>August</v>
      </c>
    </row>
    <row r="170" spans="1:14" x14ac:dyDescent="0.3">
      <c r="A170" t="s">
        <v>240</v>
      </c>
      <c r="B170" s="1">
        <v>7826</v>
      </c>
      <c r="C170" s="1">
        <f t="shared" si="4"/>
        <v>6605</v>
      </c>
      <c r="D170">
        <v>1221</v>
      </c>
      <c r="E170">
        <v>14</v>
      </c>
      <c r="F170" t="s">
        <v>47</v>
      </c>
      <c r="G170" t="s">
        <v>111</v>
      </c>
      <c r="H170" t="s">
        <v>17</v>
      </c>
      <c r="I170" s="2">
        <v>44722</v>
      </c>
      <c r="J170" t="s">
        <v>241</v>
      </c>
      <c r="K170" t="s">
        <v>73</v>
      </c>
      <c r="L170" t="s">
        <v>74</v>
      </c>
      <c r="M170" t="s">
        <v>167</v>
      </c>
      <c r="N170" t="str">
        <f t="shared" si="5"/>
        <v>June</v>
      </c>
    </row>
    <row r="171" spans="1:14" x14ac:dyDescent="0.3">
      <c r="A171" t="s">
        <v>240</v>
      </c>
      <c r="B171" s="1">
        <v>7826</v>
      </c>
      <c r="C171" s="1">
        <f t="shared" si="4"/>
        <v>6605</v>
      </c>
      <c r="D171">
        <v>1221</v>
      </c>
      <c r="E171">
        <v>14</v>
      </c>
      <c r="F171" t="s">
        <v>47</v>
      </c>
      <c r="G171" t="s">
        <v>111</v>
      </c>
      <c r="H171" t="s">
        <v>17</v>
      </c>
      <c r="I171" s="2">
        <v>44516</v>
      </c>
      <c r="J171" t="s">
        <v>242</v>
      </c>
      <c r="K171" t="s">
        <v>19</v>
      </c>
      <c r="L171" t="s">
        <v>36</v>
      </c>
      <c r="M171" t="s">
        <v>177</v>
      </c>
      <c r="N171" t="str">
        <f t="shared" si="5"/>
        <v>November</v>
      </c>
    </row>
    <row r="172" spans="1:14" x14ac:dyDescent="0.3">
      <c r="A172" t="s">
        <v>240</v>
      </c>
      <c r="B172" s="1">
        <v>7826</v>
      </c>
      <c r="C172" s="1">
        <f t="shared" si="4"/>
        <v>6605</v>
      </c>
      <c r="D172">
        <v>1221</v>
      </c>
      <c r="E172">
        <v>14</v>
      </c>
      <c r="F172" t="s">
        <v>47</v>
      </c>
      <c r="G172" t="s">
        <v>111</v>
      </c>
      <c r="H172" t="s">
        <v>17</v>
      </c>
      <c r="I172" s="2">
        <v>44790</v>
      </c>
      <c r="J172" t="s">
        <v>243</v>
      </c>
      <c r="K172" t="s">
        <v>44</v>
      </c>
      <c r="L172" t="s">
        <v>45</v>
      </c>
      <c r="M172" t="s">
        <v>211</v>
      </c>
      <c r="N172" t="str">
        <f t="shared" si="5"/>
        <v>August</v>
      </c>
    </row>
    <row r="173" spans="1:14" x14ac:dyDescent="0.3">
      <c r="A173" t="s">
        <v>244</v>
      </c>
      <c r="B173" s="1">
        <v>770</v>
      </c>
      <c r="C173" s="1">
        <f t="shared" si="4"/>
        <v>529</v>
      </c>
      <c r="D173">
        <v>241</v>
      </c>
      <c r="E173">
        <v>11</v>
      </c>
      <c r="F173" t="s">
        <v>47</v>
      </c>
      <c r="G173" t="s">
        <v>62</v>
      </c>
      <c r="H173" t="s">
        <v>67</v>
      </c>
      <c r="I173" s="2">
        <v>44523</v>
      </c>
      <c r="J173" t="s">
        <v>245</v>
      </c>
      <c r="K173" t="s">
        <v>73</v>
      </c>
      <c r="L173" t="s">
        <v>88</v>
      </c>
      <c r="M173" t="s">
        <v>177</v>
      </c>
      <c r="N173" t="str">
        <f t="shared" si="5"/>
        <v>November</v>
      </c>
    </row>
    <row r="174" spans="1:14" x14ac:dyDescent="0.3">
      <c r="A174" t="s">
        <v>244</v>
      </c>
      <c r="B174" s="1">
        <v>770</v>
      </c>
      <c r="C174" s="1">
        <f t="shared" si="4"/>
        <v>529</v>
      </c>
      <c r="D174">
        <v>241</v>
      </c>
      <c r="E174">
        <v>11</v>
      </c>
      <c r="F174" t="s">
        <v>47</v>
      </c>
      <c r="G174" t="s">
        <v>62</v>
      </c>
      <c r="H174" t="s">
        <v>67</v>
      </c>
      <c r="I174" s="2">
        <v>44989</v>
      </c>
      <c r="J174" t="s">
        <v>246</v>
      </c>
      <c r="K174" t="s">
        <v>100</v>
      </c>
      <c r="L174" t="s">
        <v>109</v>
      </c>
      <c r="M174" t="s">
        <v>247</v>
      </c>
      <c r="N174" t="str">
        <f t="shared" si="5"/>
        <v>March</v>
      </c>
    </row>
    <row r="175" spans="1:14" x14ac:dyDescent="0.3">
      <c r="A175" t="s">
        <v>248</v>
      </c>
      <c r="B175" s="1">
        <v>9895</v>
      </c>
      <c r="C175" s="1">
        <f t="shared" si="4"/>
        <v>8297</v>
      </c>
      <c r="D175">
        <v>1598</v>
      </c>
      <c r="E175">
        <v>20</v>
      </c>
      <c r="F175" t="s">
        <v>47</v>
      </c>
      <c r="G175" t="s">
        <v>111</v>
      </c>
      <c r="H175" t="s">
        <v>67</v>
      </c>
      <c r="I175" s="2">
        <v>45276</v>
      </c>
      <c r="J175" t="s">
        <v>249</v>
      </c>
      <c r="K175" t="s">
        <v>27</v>
      </c>
      <c r="L175" t="s">
        <v>70</v>
      </c>
      <c r="M175" t="s">
        <v>104</v>
      </c>
      <c r="N175" t="str">
        <f t="shared" si="5"/>
        <v>December</v>
      </c>
    </row>
    <row r="176" spans="1:14" x14ac:dyDescent="0.3">
      <c r="A176" t="s">
        <v>250</v>
      </c>
      <c r="B176" s="1">
        <v>6517</v>
      </c>
      <c r="C176" s="1">
        <f t="shared" si="4"/>
        <v>4936</v>
      </c>
      <c r="D176">
        <v>1581</v>
      </c>
      <c r="E176">
        <v>10</v>
      </c>
      <c r="F176" t="s">
        <v>32</v>
      </c>
      <c r="G176" t="s">
        <v>66</v>
      </c>
      <c r="H176" t="s">
        <v>34</v>
      </c>
      <c r="I176" s="2">
        <v>45431</v>
      </c>
      <c r="J176" t="s">
        <v>251</v>
      </c>
      <c r="K176" t="s">
        <v>19</v>
      </c>
      <c r="L176" t="s">
        <v>20</v>
      </c>
      <c r="M176" t="s">
        <v>37</v>
      </c>
      <c r="N176" t="str">
        <f t="shared" si="5"/>
        <v>May</v>
      </c>
    </row>
    <row r="177" spans="1:14" x14ac:dyDescent="0.3">
      <c r="A177" t="s">
        <v>250</v>
      </c>
      <c r="B177" s="1">
        <v>6517</v>
      </c>
      <c r="C177" s="1">
        <f t="shared" si="4"/>
        <v>4936</v>
      </c>
      <c r="D177">
        <v>1581</v>
      </c>
      <c r="E177">
        <v>10</v>
      </c>
      <c r="F177" t="s">
        <v>32</v>
      </c>
      <c r="G177" t="s">
        <v>66</v>
      </c>
      <c r="H177" t="s">
        <v>34</v>
      </c>
      <c r="I177" s="2">
        <v>43965</v>
      </c>
      <c r="J177" t="s">
        <v>252</v>
      </c>
      <c r="K177" t="s">
        <v>19</v>
      </c>
      <c r="L177" t="s">
        <v>152</v>
      </c>
      <c r="M177" t="s">
        <v>61</v>
      </c>
      <c r="N177" t="str">
        <f t="shared" si="5"/>
        <v>May</v>
      </c>
    </row>
    <row r="178" spans="1:14" x14ac:dyDescent="0.3">
      <c r="A178" t="s">
        <v>250</v>
      </c>
      <c r="B178" s="1">
        <v>1166</v>
      </c>
      <c r="C178" s="1">
        <f t="shared" si="4"/>
        <v>817</v>
      </c>
      <c r="D178">
        <v>349</v>
      </c>
      <c r="E178">
        <v>11</v>
      </c>
      <c r="F178" t="s">
        <v>47</v>
      </c>
      <c r="G178" t="s">
        <v>48</v>
      </c>
      <c r="H178" t="s">
        <v>49</v>
      </c>
      <c r="I178" s="2">
        <v>45431</v>
      </c>
      <c r="J178" t="s">
        <v>251</v>
      </c>
      <c r="K178" t="s">
        <v>19</v>
      </c>
      <c r="L178" t="s">
        <v>20</v>
      </c>
      <c r="M178" t="s">
        <v>37</v>
      </c>
      <c r="N178" t="str">
        <f t="shared" si="5"/>
        <v>May</v>
      </c>
    </row>
    <row r="179" spans="1:14" x14ac:dyDescent="0.3">
      <c r="A179" t="s">
        <v>250</v>
      </c>
      <c r="B179" s="1">
        <v>1166</v>
      </c>
      <c r="C179" s="1">
        <f t="shared" si="4"/>
        <v>817</v>
      </c>
      <c r="D179">
        <v>349</v>
      </c>
      <c r="E179">
        <v>11</v>
      </c>
      <c r="F179" t="s">
        <v>47</v>
      </c>
      <c r="G179" t="s">
        <v>48</v>
      </c>
      <c r="H179" t="s">
        <v>49</v>
      </c>
      <c r="I179" s="2">
        <v>43965</v>
      </c>
      <c r="J179" t="s">
        <v>252</v>
      </c>
      <c r="K179" t="s">
        <v>19</v>
      </c>
      <c r="L179" t="s">
        <v>152</v>
      </c>
      <c r="M179" t="s">
        <v>61</v>
      </c>
      <c r="N179" t="str">
        <f t="shared" si="5"/>
        <v>May</v>
      </c>
    </row>
    <row r="180" spans="1:14" x14ac:dyDescent="0.3">
      <c r="A180" t="s">
        <v>253</v>
      </c>
      <c r="B180" s="1">
        <v>9820</v>
      </c>
      <c r="C180" s="1">
        <f t="shared" si="4"/>
        <v>9027</v>
      </c>
      <c r="D180">
        <v>793</v>
      </c>
      <c r="E180">
        <v>16</v>
      </c>
      <c r="F180" t="s">
        <v>47</v>
      </c>
      <c r="G180" t="s">
        <v>51</v>
      </c>
      <c r="H180" t="s">
        <v>49</v>
      </c>
      <c r="I180" s="2">
        <v>44437</v>
      </c>
      <c r="J180" t="s">
        <v>254</v>
      </c>
      <c r="K180" t="s">
        <v>27</v>
      </c>
      <c r="L180" t="s">
        <v>28</v>
      </c>
      <c r="M180" t="s">
        <v>180</v>
      </c>
      <c r="N180" t="str">
        <f t="shared" si="5"/>
        <v>August</v>
      </c>
    </row>
    <row r="181" spans="1:14" x14ac:dyDescent="0.3">
      <c r="A181" t="s">
        <v>255</v>
      </c>
      <c r="B181" s="1">
        <v>8563</v>
      </c>
      <c r="C181" s="1">
        <f t="shared" si="4"/>
        <v>5939</v>
      </c>
      <c r="D181">
        <v>2624</v>
      </c>
      <c r="E181">
        <v>8</v>
      </c>
      <c r="F181" t="s">
        <v>32</v>
      </c>
      <c r="G181" t="s">
        <v>80</v>
      </c>
      <c r="H181" t="s">
        <v>67</v>
      </c>
      <c r="I181" s="2">
        <v>45606</v>
      </c>
      <c r="J181" t="s">
        <v>256</v>
      </c>
      <c r="K181" t="s">
        <v>73</v>
      </c>
      <c r="L181" t="s">
        <v>74</v>
      </c>
      <c r="M181" t="s">
        <v>257</v>
      </c>
      <c r="N181" t="str">
        <f t="shared" si="5"/>
        <v>November</v>
      </c>
    </row>
    <row r="182" spans="1:14" x14ac:dyDescent="0.3">
      <c r="A182" t="s">
        <v>255</v>
      </c>
      <c r="B182" s="1">
        <v>4441</v>
      </c>
      <c r="C182" s="1">
        <f t="shared" si="4"/>
        <v>4160</v>
      </c>
      <c r="D182">
        <v>281</v>
      </c>
      <c r="E182">
        <v>20</v>
      </c>
      <c r="F182" t="s">
        <v>15</v>
      </c>
      <c r="G182" t="s">
        <v>30</v>
      </c>
      <c r="H182" t="s">
        <v>67</v>
      </c>
      <c r="I182" s="2">
        <v>45606</v>
      </c>
      <c r="J182" t="s">
        <v>256</v>
      </c>
      <c r="K182" t="s">
        <v>73</v>
      </c>
      <c r="L182" t="s">
        <v>74</v>
      </c>
      <c r="M182" t="s">
        <v>257</v>
      </c>
      <c r="N182" t="str">
        <f t="shared" si="5"/>
        <v>November</v>
      </c>
    </row>
    <row r="183" spans="1:14" x14ac:dyDescent="0.3">
      <c r="A183" t="s">
        <v>258</v>
      </c>
      <c r="B183" s="1">
        <v>7340</v>
      </c>
      <c r="C183" s="1">
        <f t="shared" si="4"/>
        <v>5069</v>
      </c>
      <c r="D183">
        <v>2271</v>
      </c>
      <c r="E183">
        <v>8</v>
      </c>
      <c r="F183" t="s">
        <v>32</v>
      </c>
      <c r="G183" t="s">
        <v>66</v>
      </c>
      <c r="H183" t="s">
        <v>42</v>
      </c>
      <c r="I183" s="2">
        <v>44535</v>
      </c>
      <c r="J183" t="s">
        <v>259</v>
      </c>
      <c r="K183" t="s">
        <v>19</v>
      </c>
      <c r="L183" t="s">
        <v>36</v>
      </c>
      <c r="M183" t="s">
        <v>92</v>
      </c>
      <c r="N183" t="str">
        <f t="shared" si="5"/>
        <v>December</v>
      </c>
    </row>
    <row r="184" spans="1:14" x14ac:dyDescent="0.3">
      <c r="A184" t="s">
        <v>258</v>
      </c>
      <c r="B184" s="1">
        <v>5442</v>
      </c>
      <c r="C184" s="1">
        <f t="shared" si="4"/>
        <v>3832</v>
      </c>
      <c r="D184">
        <v>1610</v>
      </c>
      <c r="E184">
        <v>1</v>
      </c>
      <c r="F184" t="s">
        <v>15</v>
      </c>
      <c r="G184" t="s">
        <v>84</v>
      </c>
      <c r="H184" t="s">
        <v>42</v>
      </c>
      <c r="I184" s="2">
        <v>44535</v>
      </c>
      <c r="J184" t="s">
        <v>259</v>
      </c>
      <c r="K184" t="s">
        <v>19</v>
      </c>
      <c r="L184" t="s">
        <v>36</v>
      </c>
      <c r="M184" t="s">
        <v>92</v>
      </c>
      <c r="N184" t="str">
        <f t="shared" si="5"/>
        <v>December</v>
      </c>
    </row>
    <row r="185" spans="1:14" x14ac:dyDescent="0.3">
      <c r="A185" t="s">
        <v>260</v>
      </c>
      <c r="B185" s="1">
        <v>1895</v>
      </c>
      <c r="C185" s="1">
        <f t="shared" si="4"/>
        <v>1504</v>
      </c>
      <c r="D185">
        <v>391</v>
      </c>
      <c r="E185">
        <v>14</v>
      </c>
      <c r="F185" t="s">
        <v>47</v>
      </c>
      <c r="G185" t="s">
        <v>48</v>
      </c>
      <c r="H185" t="s">
        <v>17</v>
      </c>
      <c r="I185" s="2">
        <v>45478</v>
      </c>
      <c r="J185" t="s">
        <v>261</v>
      </c>
      <c r="K185" t="s">
        <v>19</v>
      </c>
      <c r="L185" t="s">
        <v>152</v>
      </c>
      <c r="M185" t="s">
        <v>217</v>
      </c>
      <c r="N185" t="str">
        <f t="shared" si="5"/>
        <v>July</v>
      </c>
    </row>
    <row r="186" spans="1:14" x14ac:dyDescent="0.3">
      <c r="A186" t="s">
        <v>260</v>
      </c>
      <c r="B186" s="1">
        <v>5323</v>
      </c>
      <c r="C186" s="1">
        <f t="shared" si="4"/>
        <v>5001</v>
      </c>
      <c r="D186">
        <v>322</v>
      </c>
      <c r="E186">
        <v>13</v>
      </c>
      <c r="F186" t="s">
        <v>32</v>
      </c>
      <c r="G186" t="s">
        <v>80</v>
      </c>
      <c r="H186" t="s">
        <v>67</v>
      </c>
      <c r="I186" s="2">
        <v>45478</v>
      </c>
      <c r="J186" t="s">
        <v>261</v>
      </c>
      <c r="K186" t="s">
        <v>19</v>
      </c>
      <c r="L186" t="s">
        <v>152</v>
      </c>
      <c r="M186" t="s">
        <v>217</v>
      </c>
      <c r="N186" t="str">
        <f t="shared" si="5"/>
        <v>July</v>
      </c>
    </row>
    <row r="187" spans="1:14" x14ac:dyDescent="0.3">
      <c r="A187" t="s">
        <v>262</v>
      </c>
      <c r="B187" s="1">
        <v>8850</v>
      </c>
      <c r="C187" s="1">
        <f t="shared" si="4"/>
        <v>8571</v>
      </c>
      <c r="D187">
        <v>279</v>
      </c>
      <c r="E187">
        <v>13</v>
      </c>
      <c r="F187" t="s">
        <v>32</v>
      </c>
      <c r="G187" t="s">
        <v>59</v>
      </c>
      <c r="H187" t="s">
        <v>34</v>
      </c>
      <c r="I187" s="2">
        <v>45468</v>
      </c>
      <c r="J187" t="s">
        <v>263</v>
      </c>
      <c r="K187" t="s">
        <v>19</v>
      </c>
      <c r="L187" t="s">
        <v>20</v>
      </c>
      <c r="M187" t="s">
        <v>264</v>
      </c>
      <c r="N187" t="str">
        <f t="shared" si="5"/>
        <v>June</v>
      </c>
    </row>
    <row r="188" spans="1:14" x14ac:dyDescent="0.3">
      <c r="A188" t="s">
        <v>262</v>
      </c>
      <c r="B188" s="1">
        <v>8667</v>
      </c>
      <c r="C188" s="1">
        <f t="shared" si="4"/>
        <v>7401</v>
      </c>
      <c r="D188">
        <v>1266</v>
      </c>
      <c r="E188">
        <v>6</v>
      </c>
      <c r="F188" t="s">
        <v>32</v>
      </c>
      <c r="G188" t="s">
        <v>66</v>
      </c>
      <c r="H188" t="s">
        <v>34</v>
      </c>
      <c r="I188" s="2">
        <v>45468</v>
      </c>
      <c r="J188" t="s">
        <v>263</v>
      </c>
      <c r="K188" t="s">
        <v>19</v>
      </c>
      <c r="L188" t="s">
        <v>20</v>
      </c>
      <c r="M188" t="s">
        <v>264</v>
      </c>
      <c r="N188" t="str">
        <f t="shared" si="5"/>
        <v>June</v>
      </c>
    </row>
    <row r="189" spans="1:14" x14ac:dyDescent="0.3">
      <c r="A189" t="s">
        <v>265</v>
      </c>
      <c r="B189" s="1">
        <v>6903</v>
      </c>
      <c r="C189" s="1">
        <f t="shared" si="4"/>
        <v>6798</v>
      </c>
      <c r="D189">
        <v>105</v>
      </c>
      <c r="E189">
        <v>1</v>
      </c>
      <c r="F189" t="s">
        <v>47</v>
      </c>
      <c r="G189" t="s">
        <v>48</v>
      </c>
      <c r="H189" t="s">
        <v>67</v>
      </c>
      <c r="I189" s="2">
        <v>45443</v>
      </c>
      <c r="J189" t="s">
        <v>266</v>
      </c>
      <c r="K189" t="s">
        <v>23</v>
      </c>
      <c r="L189" t="s">
        <v>24</v>
      </c>
      <c r="M189" t="s">
        <v>37</v>
      </c>
      <c r="N189" t="str">
        <f t="shared" si="5"/>
        <v>May</v>
      </c>
    </row>
    <row r="190" spans="1:14" x14ac:dyDescent="0.3">
      <c r="A190" t="s">
        <v>265</v>
      </c>
      <c r="B190" s="1">
        <v>8793</v>
      </c>
      <c r="C190" s="1">
        <f t="shared" si="4"/>
        <v>5783</v>
      </c>
      <c r="D190">
        <v>3010</v>
      </c>
      <c r="E190">
        <v>7</v>
      </c>
      <c r="F190" t="s">
        <v>32</v>
      </c>
      <c r="G190" t="s">
        <v>33</v>
      </c>
      <c r="H190" t="s">
        <v>67</v>
      </c>
      <c r="I190" s="2">
        <v>45443</v>
      </c>
      <c r="J190" t="s">
        <v>266</v>
      </c>
      <c r="K190" t="s">
        <v>23</v>
      </c>
      <c r="L190" t="s">
        <v>24</v>
      </c>
      <c r="M190" t="s">
        <v>37</v>
      </c>
      <c r="N190" t="str">
        <f t="shared" si="5"/>
        <v>May</v>
      </c>
    </row>
    <row r="191" spans="1:14" x14ac:dyDescent="0.3">
      <c r="A191" t="s">
        <v>267</v>
      </c>
      <c r="B191" s="1">
        <v>9883</v>
      </c>
      <c r="C191" s="1">
        <f t="shared" si="4"/>
        <v>5071</v>
      </c>
      <c r="D191">
        <v>4812</v>
      </c>
      <c r="E191">
        <v>16</v>
      </c>
      <c r="F191" t="s">
        <v>32</v>
      </c>
      <c r="G191" t="s">
        <v>66</v>
      </c>
      <c r="H191" t="s">
        <v>17</v>
      </c>
      <c r="I191" s="2">
        <v>44124</v>
      </c>
      <c r="J191" t="s">
        <v>268</v>
      </c>
      <c r="K191" t="s">
        <v>27</v>
      </c>
      <c r="L191" t="s">
        <v>28</v>
      </c>
      <c r="M191" t="s">
        <v>121</v>
      </c>
      <c r="N191" t="str">
        <f t="shared" si="5"/>
        <v>October</v>
      </c>
    </row>
    <row r="192" spans="1:14" x14ac:dyDescent="0.3">
      <c r="A192" t="s">
        <v>267</v>
      </c>
      <c r="B192" s="1">
        <v>9883</v>
      </c>
      <c r="C192" s="1">
        <f t="shared" si="4"/>
        <v>5071</v>
      </c>
      <c r="D192">
        <v>4812</v>
      </c>
      <c r="E192">
        <v>16</v>
      </c>
      <c r="F192" t="s">
        <v>32</v>
      </c>
      <c r="G192" t="s">
        <v>66</v>
      </c>
      <c r="H192" t="s">
        <v>17</v>
      </c>
      <c r="I192" s="2">
        <v>44784</v>
      </c>
      <c r="J192" t="s">
        <v>269</v>
      </c>
      <c r="K192" t="s">
        <v>19</v>
      </c>
      <c r="L192" t="s">
        <v>36</v>
      </c>
      <c r="M192" t="s">
        <v>211</v>
      </c>
      <c r="N192" t="str">
        <f t="shared" si="5"/>
        <v>August</v>
      </c>
    </row>
    <row r="193" spans="1:14" x14ac:dyDescent="0.3">
      <c r="A193" t="s">
        <v>267</v>
      </c>
      <c r="B193" s="1">
        <v>9883</v>
      </c>
      <c r="C193" s="1">
        <f t="shared" si="4"/>
        <v>5071</v>
      </c>
      <c r="D193">
        <v>4812</v>
      </c>
      <c r="E193">
        <v>16</v>
      </c>
      <c r="F193" t="s">
        <v>32</v>
      </c>
      <c r="G193" t="s">
        <v>66</v>
      </c>
      <c r="H193" t="s">
        <v>17</v>
      </c>
      <c r="I193" s="2">
        <v>44486</v>
      </c>
      <c r="J193" t="s">
        <v>270</v>
      </c>
      <c r="K193" t="s">
        <v>23</v>
      </c>
      <c r="L193" t="s">
        <v>65</v>
      </c>
      <c r="M193" t="s">
        <v>39</v>
      </c>
      <c r="N193" t="str">
        <f t="shared" si="5"/>
        <v>October</v>
      </c>
    </row>
    <row r="194" spans="1:14" x14ac:dyDescent="0.3">
      <c r="A194" t="s">
        <v>267</v>
      </c>
      <c r="B194" s="1">
        <v>5210</v>
      </c>
      <c r="C194" s="1">
        <f t="shared" ref="C194:C257" si="6">B194-D194</f>
        <v>4025</v>
      </c>
      <c r="D194">
        <v>1185</v>
      </c>
      <c r="E194">
        <v>7</v>
      </c>
      <c r="F194" t="s">
        <v>32</v>
      </c>
      <c r="G194" t="s">
        <v>66</v>
      </c>
      <c r="H194" t="s">
        <v>17</v>
      </c>
      <c r="I194" s="2">
        <v>44124</v>
      </c>
      <c r="J194" t="s">
        <v>268</v>
      </c>
      <c r="K194" t="s">
        <v>27</v>
      </c>
      <c r="L194" t="s">
        <v>28</v>
      </c>
      <c r="M194" t="s">
        <v>121</v>
      </c>
      <c r="N194" t="str">
        <f t="shared" si="5"/>
        <v>October</v>
      </c>
    </row>
    <row r="195" spans="1:14" x14ac:dyDescent="0.3">
      <c r="A195" t="s">
        <v>267</v>
      </c>
      <c r="B195" s="1">
        <v>5210</v>
      </c>
      <c r="C195" s="1">
        <f t="shared" si="6"/>
        <v>4025</v>
      </c>
      <c r="D195">
        <v>1185</v>
      </c>
      <c r="E195">
        <v>7</v>
      </c>
      <c r="F195" t="s">
        <v>32</v>
      </c>
      <c r="G195" t="s">
        <v>66</v>
      </c>
      <c r="H195" t="s">
        <v>17</v>
      </c>
      <c r="I195" s="2">
        <v>44784</v>
      </c>
      <c r="J195" t="s">
        <v>269</v>
      </c>
      <c r="K195" t="s">
        <v>19</v>
      </c>
      <c r="L195" t="s">
        <v>36</v>
      </c>
      <c r="M195" t="s">
        <v>211</v>
      </c>
      <c r="N195" t="str">
        <f t="shared" ref="N195:N258" si="7">TEXT(DATE(LEFT(M195,4),RIGHT(M195,2),1),"mmmm")</f>
        <v>August</v>
      </c>
    </row>
    <row r="196" spans="1:14" x14ac:dyDescent="0.3">
      <c r="A196" t="s">
        <v>267</v>
      </c>
      <c r="B196" s="1">
        <v>5210</v>
      </c>
      <c r="C196" s="1">
        <f t="shared" si="6"/>
        <v>4025</v>
      </c>
      <c r="D196">
        <v>1185</v>
      </c>
      <c r="E196">
        <v>7</v>
      </c>
      <c r="F196" t="s">
        <v>32</v>
      </c>
      <c r="G196" t="s">
        <v>66</v>
      </c>
      <c r="H196" t="s">
        <v>17</v>
      </c>
      <c r="I196" s="2">
        <v>44486</v>
      </c>
      <c r="J196" t="s">
        <v>270</v>
      </c>
      <c r="K196" t="s">
        <v>23</v>
      </c>
      <c r="L196" t="s">
        <v>65</v>
      </c>
      <c r="M196" t="s">
        <v>39</v>
      </c>
      <c r="N196" t="str">
        <f t="shared" si="7"/>
        <v>October</v>
      </c>
    </row>
    <row r="197" spans="1:14" x14ac:dyDescent="0.3">
      <c r="A197" t="s">
        <v>271</v>
      </c>
      <c r="B197" s="1">
        <v>3574</v>
      </c>
      <c r="C197" s="1">
        <f t="shared" si="6"/>
        <v>2723</v>
      </c>
      <c r="D197">
        <v>851</v>
      </c>
      <c r="E197">
        <v>4</v>
      </c>
      <c r="F197" t="s">
        <v>15</v>
      </c>
      <c r="G197" t="s">
        <v>30</v>
      </c>
      <c r="H197" t="s">
        <v>49</v>
      </c>
      <c r="I197" s="2">
        <v>44615</v>
      </c>
      <c r="J197" t="s">
        <v>272</v>
      </c>
      <c r="K197" t="s">
        <v>44</v>
      </c>
      <c r="L197" t="s">
        <v>45</v>
      </c>
      <c r="M197" t="s">
        <v>139</v>
      </c>
      <c r="N197" t="str">
        <f t="shared" si="7"/>
        <v>February</v>
      </c>
    </row>
    <row r="198" spans="1:14" x14ac:dyDescent="0.3">
      <c r="A198" t="s">
        <v>271</v>
      </c>
      <c r="B198" s="1">
        <v>576</v>
      </c>
      <c r="C198" s="1">
        <f t="shared" si="6"/>
        <v>500</v>
      </c>
      <c r="D198">
        <v>76</v>
      </c>
      <c r="E198">
        <v>13</v>
      </c>
      <c r="F198" t="s">
        <v>47</v>
      </c>
      <c r="G198" t="s">
        <v>62</v>
      </c>
      <c r="H198" t="s">
        <v>17</v>
      </c>
      <c r="I198" s="2">
        <v>44615</v>
      </c>
      <c r="J198" t="s">
        <v>272</v>
      </c>
      <c r="K198" t="s">
        <v>44</v>
      </c>
      <c r="L198" t="s">
        <v>45</v>
      </c>
      <c r="M198" t="s">
        <v>139</v>
      </c>
      <c r="N198" t="str">
        <f t="shared" si="7"/>
        <v>February</v>
      </c>
    </row>
    <row r="199" spans="1:14" x14ac:dyDescent="0.3">
      <c r="A199" t="s">
        <v>273</v>
      </c>
      <c r="B199" s="1">
        <v>1860</v>
      </c>
      <c r="C199" s="1">
        <f t="shared" si="6"/>
        <v>1403</v>
      </c>
      <c r="D199">
        <v>457</v>
      </c>
      <c r="E199">
        <v>13</v>
      </c>
      <c r="F199" t="s">
        <v>15</v>
      </c>
      <c r="G199" t="s">
        <v>30</v>
      </c>
      <c r="H199" t="s">
        <v>42</v>
      </c>
      <c r="I199" s="2">
        <v>45189</v>
      </c>
      <c r="J199" t="s">
        <v>274</v>
      </c>
      <c r="K199" t="s">
        <v>100</v>
      </c>
      <c r="L199" t="s">
        <v>119</v>
      </c>
      <c r="M199" t="s">
        <v>275</v>
      </c>
      <c r="N199" t="str">
        <f t="shared" si="7"/>
        <v>September</v>
      </c>
    </row>
    <row r="200" spans="1:14" x14ac:dyDescent="0.3">
      <c r="A200" t="s">
        <v>276</v>
      </c>
      <c r="B200" s="1">
        <v>782</v>
      </c>
      <c r="C200" s="1">
        <f t="shared" si="6"/>
        <v>408</v>
      </c>
      <c r="D200">
        <v>374</v>
      </c>
      <c r="E200">
        <v>8</v>
      </c>
      <c r="F200" t="s">
        <v>32</v>
      </c>
      <c r="G200" t="s">
        <v>33</v>
      </c>
      <c r="H200" t="s">
        <v>42</v>
      </c>
      <c r="I200" s="2">
        <v>44215</v>
      </c>
      <c r="J200" t="s">
        <v>277</v>
      </c>
      <c r="K200" t="s">
        <v>23</v>
      </c>
      <c r="L200" t="s">
        <v>174</v>
      </c>
      <c r="M200" t="s">
        <v>278</v>
      </c>
      <c r="N200" t="str">
        <f t="shared" si="7"/>
        <v>January</v>
      </c>
    </row>
    <row r="201" spans="1:14" x14ac:dyDescent="0.3">
      <c r="A201" t="s">
        <v>276</v>
      </c>
      <c r="B201" s="1">
        <v>4371</v>
      </c>
      <c r="C201" s="1">
        <f t="shared" si="6"/>
        <v>2519</v>
      </c>
      <c r="D201">
        <v>1852</v>
      </c>
      <c r="E201">
        <v>1</v>
      </c>
      <c r="F201" t="s">
        <v>15</v>
      </c>
      <c r="G201" t="s">
        <v>41</v>
      </c>
      <c r="H201" t="s">
        <v>17</v>
      </c>
      <c r="I201" s="2">
        <v>44215</v>
      </c>
      <c r="J201" t="s">
        <v>277</v>
      </c>
      <c r="K201" t="s">
        <v>23</v>
      </c>
      <c r="L201" t="s">
        <v>174</v>
      </c>
      <c r="M201" t="s">
        <v>278</v>
      </c>
      <c r="N201" t="str">
        <f t="shared" si="7"/>
        <v>January</v>
      </c>
    </row>
    <row r="202" spans="1:14" x14ac:dyDescent="0.3">
      <c r="A202" t="s">
        <v>279</v>
      </c>
      <c r="B202" s="1">
        <v>8346</v>
      </c>
      <c r="C202" s="1">
        <f t="shared" si="6"/>
        <v>7170</v>
      </c>
      <c r="D202">
        <v>1176</v>
      </c>
      <c r="E202">
        <v>1</v>
      </c>
      <c r="F202" t="s">
        <v>15</v>
      </c>
      <c r="G202" t="s">
        <v>84</v>
      </c>
      <c r="H202" t="s">
        <v>67</v>
      </c>
      <c r="I202" s="2">
        <v>44064</v>
      </c>
      <c r="J202" t="s">
        <v>280</v>
      </c>
      <c r="K202" t="s">
        <v>73</v>
      </c>
      <c r="L202" t="s">
        <v>140</v>
      </c>
      <c r="M202" t="s">
        <v>187</v>
      </c>
      <c r="N202" t="str">
        <f t="shared" si="7"/>
        <v>August</v>
      </c>
    </row>
    <row r="203" spans="1:14" x14ac:dyDescent="0.3">
      <c r="A203" t="s">
        <v>279</v>
      </c>
      <c r="B203" s="1">
        <v>8346</v>
      </c>
      <c r="C203" s="1">
        <f t="shared" si="6"/>
        <v>7170</v>
      </c>
      <c r="D203">
        <v>1176</v>
      </c>
      <c r="E203">
        <v>1</v>
      </c>
      <c r="F203" t="s">
        <v>15</v>
      </c>
      <c r="G203" t="s">
        <v>84</v>
      </c>
      <c r="H203" t="s">
        <v>67</v>
      </c>
      <c r="I203" s="2">
        <v>45033</v>
      </c>
      <c r="J203" t="s">
        <v>281</v>
      </c>
      <c r="K203" t="s">
        <v>23</v>
      </c>
      <c r="L203" t="s">
        <v>24</v>
      </c>
      <c r="M203" t="s">
        <v>147</v>
      </c>
      <c r="N203" t="str">
        <f t="shared" si="7"/>
        <v>April</v>
      </c>
    </row>
    <row r="204" spans="1:14" x14ac:dyDescent="0.3">
      <c r="A204" t="s">
        <v>279</v>
      </c>
      <c r="B204" s="1">
        <v>8346</v>
      </c>
      <c r="C204" s="1">
        <f t="shared" si="6"/>
        <v>7170</v>
      </c>
      <c r="D204">
        <v>1176</v>
      </c>
      <c r="E204">
        <v>1</v>
      </c>
      <c r="F204" t="s">
        <v>15</v>
      </c>
      <c r="G204" t="s">
        <v>84</v>
      </c>
      <c r="H204" t="s">
        <v>67</v>
      </c>
      <c r="I204" s="2">
        <v>45284</v>
      </c>
      <c r="J204" t="s">
        <v>282</v>
      </c>
      <c r="K204" t="s">
        <v>44</v>
      </c>
      <c r="L204" t="s">
        <v>94</v>
      </c>
      <c r="M204" t="s">
        <v>104</v>
      </c>
      <c r="N204" t="str">
        <f t="shared" si="7"/>
        <v>December</v>
      </c>
    </row>
    <row r="205" spans="1:14" x14ac:dyDescent="0.3">
      <c r="A205" t="s">
        <v>279</v>
      </c>
      <c r="B205" s="1">
        <v>6218</v>
      </c>
      <c r="C205" s="1">
        <f t="shared" si="6"/>
        <v>5093</v>
      </c>
      <c r="D205">
        <v>1125</v>
      </c>
      <c r="E205">
        <v>5</v>
      </c>
      <c r="F205" t="s">
        <v>47</v>
      </c>
      <c r="G205" t="s">
        <v>48</v>
      </c>
      <c r="H205" t="s">
        <v>34</v>
      </c>
      <c r="I205" s="2">
        <v>44064</v>
      </c>
      <c r="J205" t="s">
        <v>280</v>
      </c>
      <c r="K205" t="s">
        <v>73</v>
      </c>
      <c r="L205" t="s">
        <v>140</v>
      </c>
      <c r="M205" t="s">
        <v>187</v>
      </c>
      <c r="N205" t="str">
        <f t="shared" si="7"/>
        <v>August</v>
      </c>
    </row>
    <row r="206" spans="1:14" x14ac:dyDescent="0.3">
      <c r="A206" t="s">
        <v>279</v>
      </c>
      <c r="B206" s="1">
        <v>6218</v>
      </c>
      <c r="C206" s="1">
        <f t="shared" si="6"/>
        <v>5093</v>
      </c>
      <c r="D206">
        <v>1125</v>
      </c>
      <c r="E206">
        <v>5</v>
      </c>
      <c r="F206" t="s">
        <v>47</v>
      </c>
      <c r="G206" t="s">
        <v>48</v>
      </c>
      <c r="H206" t="s">
        <v>34</v>
      </c>
      <c r="I206" s="2">
        <v>45033</v>
      </c>
      <c r="J206" t="s">
        <v>281</v>
      </c>
      <c r="K206" t="s">
        <v>23</v>
      </c>
      <c r="L206" t="s">
        <v>24</v>
      </c>
      <c r="M206" t="s">
        <v>147</v>
      </c>
      <c r="N206" t="str">
        <f t="shared" si="7"/>
        <v>April</v>
      </c>
    </row>
    <row r="207" spans="1:14" x14ac:dyDescent="0.3">
      <c r="A207" t="s">
        <v>279</v>
      </c>
      <c r="B207" s="1">
        <v>6218</v>
      </c>
      <c r="C207" s="1">
        <f t="shared" si="6"/>
        <v>5093</v>
      </c>
      <c r="D207">
        <v>1125</v>
      </c>
      <c r="E207">
        <v>5</v>
      </c>
      <c r="F207" t="s">
        <v>47</v>
      </c>
      <c r="G207" t="s">
        <v>48</v>
      </c>
      <c r="H207" t="s">
        <v>34</v>
      </c>
      <c r="I207" s="2">
        <v>45284</v>
      </c>
      <c r="J207" t="s">
        <v>282</v>
      </c>
      <c r="K207" t="s">
        <v>44</v>
      </c>
      <c r="L207" t="s">
        <v>94</v>
      </c>
      <c r="M207" t="s">
        <v>104</v>
      </c>
      <c r="N207" t="str">
        <f t="shared" si="7"/>
        <v>December</v>
      </c>
    </row>
    <row r="208" spans="1:14" x14ac:dyDescent="0.3">
      <c r="A208" t="s">
        <v>279</v>
      </c>
      <c r="B208" s="1">
        <v>5167</v>
      </c>
      <c r="C208" s="1">
        <f t="shared" si="6"/>
        <v>4914</v>
      </c>
      <c r="D208">
        <v>253</v>
      </c>
      <c r="E208">
        <v>14</v>
      </c>
      <c r="F208" t="s">
        <v>15</v>
      </c>
      <c r="G208" t="s">
        <v>30</v>
      </c>
      <c r="H208" t="s">
        <v>49</v>
      </c>
      <c r="I208" s="2">
        <v>44064</v>
      </c>
      <c r="J208" t="s">
        <v>280</v>
      </c>
      <c r="K208" t="s">
        <v>73</v>
      </c>
      <c r="L208" t="s">
        <v>140</v>
      </c>
      <c r="M208" t="s">
        <v>187</v>
      </c>
      <c r="N208" t="str">
        <f t="shared" si="7"/>
        <v>August</v>
      </c>
    </row>
    <row r="209" spans="1:14" x14ac:dyDescent="0.3">
      <c r="A209" t="s">
        <v>279</v>
      </c>
      <c r="B209" s="1">
        <v>5167</v>
      </c>
      <c r="C209" s="1">
        <f t="shared" si="6"/>
        <v>4914</v>
      </c>
      <c r="D209">
        <v>253</v>
      </c>
      <c r="E209">
        <v>14</v>
      </c>
      <c r="F209" t="s">
        <v>15</v>
      </c>
      <c r="G209" t="s">
        <v>30</v>
      </c>
      <c r="H209" t="s">
        <v>49</v>
      </c>
      <c r="I209" s="2">
        <v>45033</v>
      </c>
      <c r="J209" t="s">
        <v>281</v>
      </c>
      <c r="K209" t="s">
        <v>23</v>
      </c>
      <c r="L209" t="s">
        <v>24</v>
      </c>
      <c r="M209" t="s">
        <v>147</v>
      </c>
      <c r="N209" t="str">
        <f t="shared" si="7"/>
        <v>April</v>
      </c>
    </row>
    <row r="210" spans="1:14" x14ac:dyDescent="0.3">
      <c r="A210" t="s">
        <v>279</v>
      </c>
      <c r="B210" s="1">
        <v>5167</v>
      </c>
      <c r="C210" s="1">
        <f t="shared" si="6"/>
        <v>4914</v>
      </c>
      <c r="D210">
        <v>253</v>
      </c>
      <c r="E210">
        <v>14</v>
      </c>
      <c r="F210" t="s">
        <v>15</v>
      </c>
      <c r="G210" t="s">
        <v>30</v>
      </c>
      <c r="H210" t="s">
        <v>49</v>
      </c>
      <c r="I210" s="2">
        <v>45284</v>
      </c>
      <c r="J210" t="s">
        <v>282</v>
      </c>
      <c r="K210" t="s">
        <v>44</v>
      </c>
      <c r="L210" t="s">
        <v>94</v>
      </c>
      <c r="M210" t="s">
        <v>104</v>
      </c>
      <c r="N210" t="str">
        <f t="shared" si="7"/>
        <v>December</v>
      </c>
    </row>
    <row r="211" spans="1:14" x14ac:dyDescent="0.3">
      <c r="A211" t="s">
        <v>279</v>
      </c>
      <c r="B211" s="1">
        <v>2799</v>
      </c>
      <c r="C211" s="1">
        <f t="shared" si="6"/>
        <v>1560</v>
      </c>
      <c r="D211">
        <v>1239</v>
      </c>
      <c r="E211">
        <v>5</v>
      </c>
      <c r="F211" t="s">
        <v>47</v>
      </c>
      <c r="G211" t="s">
        <v>62</v>
      </c>
      <c r="H211" t="s">
        <v>34</v>
      </c>
      <c r="I211" s="2">
        <v>44064</v>
      </c>
      <c r="J211" t="s">
        <v>280</v>
      </c>
      <c r="K211" t="s">
        <v>73</v>
      </c>
      <c r="L211" t="s">
        <v>140</v>
      </c>
      <c r="M211" t="s">
        <v>187</v>
      </c>
      <c r="N211" t="str">
        <f t="shared" si="7"/>
        <v>August</v>
      </c>
    </row>
    <row r="212" spans="1:14" x14ac:dyDescent="0.3">
      <c r="A212" t="s">
        <v>279</v>
      </c>
      <c r="B212" s="1">
        <v>2799</v>
      </c>
      <c r="C212" s="1">
        <f t="shared" si="6"/>
        <v>1560</v>
      </c>
      <c r="D212">
        <v>1239</v>
      </c>
      <c r="E212">
        <v>5</v>
      </c>
      <c r="F212" t="s">
        <v>47</v>
      </c>
      <c r="G212" t="s">
        <v>62</v>
      </c>
      <c r="H212" t="s">
        <v>34</v>
      </c>
      <c r="I212" s="2">
        <v>45033</v>
      </c>
      <c r="J212" t="s">
        <v>281</v>
      </c>
      <c r="K212" t="s">
        <v>23</v>
      </c>
      <c r="L212" t="s">
        <v>24</v>
      </c>
      <c r="M212" t="s">
        <v>147</v>
      </c>
      <c r="N212" t="str">
        <f t="shared" si="7"/>
        <v>April</v>
      </c>
    </row>
    <row r="213" spans="1:14" x14ac:dyDescent="0.3">
      <c r="A213" t="s">
        <v>279</v>
      </c>
      <c r="B213" s="1">
        <v>2799</v>
      </c>
      <c r="C213" s="1">
        <f t="shared" si="6"/>
        <v>1560</v>
      </c>
      <c r="D213">
        <v>1239</v>
      </c>
      <c r="E213">
        <v>5</v>
      </c>
      <c r="F213" t="s">
        <v>47</v>
      </c>
      <c r="G213" t="s">
        <v>62</v>
      </c>
      <c r="H213" t="s">
        <v>34</v>
      </c>
      <c r="I213" s="2">
        <v>45284</v>
      </c>
      <c r="J213" t="s">
        <v>282</v>
      </c>
      <c r="K213" t="s">
        <v>44</v>
      </c>
      <c r="L213" t="s">
        <v>94</v>
      </c>
      <c r="M213" t="s">
        <v>104</v>
      </c>
      <c r="N213" t="str">
        <f t="shared" si="7"/>
        <v>December</v>
      </c>
    </row>
    <row r="214" spans="1:14" x14ac:dyDescent="0.3">
      <c r="A214" t="s">
        <v>283</v>
      </c>
      <c r="B214" s="1">
        <v>3234</v>
      </c>
      <c r="C214" s="1">
        <f t="shared" si="6"/>
        <v>2205</v>
      </c>
      <c r="D214">
        <v>1029</v>
      </c>
      <c r="E214">
        <v>20</v>
      </c>
      <c r="F214" t="s">
        <v>32</v>
      </c>
      <c r="G214" t="s">
        <v>59</v>
      </c>
      <c r="H214" t="s">
        <v>49</v>
      </c>
      <c r="I214" s="2">
        <v>44640</v>
      </c>
      <c r="J214" t="s">
        <v>284</v>
      </c>
      <c r="K214" t="s">
        <v>19</v>
      </c>
      <c r="L214" t="s">
        <v>20</v>
      </c>
      <c r="M214" t="s">
        <v>136</v>
      </c>
      <c r="N214" t="str">
        <f t="shared" si="7"/>
        <v>March</v>
      </c>
    </row>
    <row r="215" spans="1:14" x14ac:dyDescent="0.3">
      <c r="A215" t="s">
        <v>285</v>
      </c>
      <c r="B215" s="1">
        <v>4920</v>
      </c>
      <c r="C215" s="1">
        <f t="shared" si="6"/>
        <v>4145</v>
      </c>
      <c r="D215">
        <v>775</v>
      </c>
      <c r="E215">
        <v>12</v>
      </c>
      <c r="F215" t="s">
        <v>47</v>
      </c>
      <c r="G215" t="s">
        <v>48</v>
      </c>
      <c r="H215" t="s">
        <v>34</v>
      </c>
      <c r="I215" s="2">
        <v>44420</v>
      </c>
      <c r="J215" t="s">
        <v>286</v>
      </c>
      <c r="K215" t="s">
        <v>23</v>
      </c>
      <c r="L215" t="s">
        <v>65</v>
      </c>
      <c r="M215" t="s">
        <v>180</v>
      </c>
      <c r="N215" t="str">
        <f t="shared" si="7"/>
        <v>August</v>
      </c>
    </row>
    <row r="216" spans="1:14" x14ac:dyDescent="0.3">
      <c r="A216" t="s">
        <v>285</v>
      </c>
      <c r="B216" s="1">
        <v>9078</v>
      </c>
      <c r="C216" s="1">
        <f t="shared" si="6"/>
        <v>6865</v>
      </c>
      <c r="D216">
        <v>2213</v>
      </c>
      <c r="E216">
        <v>15</v>
      </c>
      <c r="F216" t="s">
        <v>47</v>
      </c>
      <c r="G216" t="s">
        <v>111</v>
      </c>
      <c r="H216" t="s">
        <v>42</v>
      </c>
      <c r="I216" s="2">
        <v>44420</v>
      </c>
      <c r="J216" t="s">
        <v>286</v>
      </c>
      <c r="K216" t="s">
        <v>23</v>
      </c>
      <c r="L216" t="s">
        <v>65</v>
      </c>
      <c r="M216" t="s">
        <v>180</v>
      </c>
      <c r="N216" t="str">
        <f t="shared" si="7"/>
        <v>August</v>
      </c>
    </row>
    <row r="217" spans="1:14" x14ac:dyDescent="0.3">
      <c r="A217" t="s">
        <v>287</v>
      </c>
      <c r="B217" s="1">
        <v>8586</v>
      </c>
      <c r="C217" s="1">
        <f t="shared" si="6"/>
        <v>4760</v>
      </c>
      <c r="D217">
        <v>3826</v>
      </c>
      <c r="E217">
        <v>7</v>
      </c>
      <c r="F217" t="s">
        <v>47</v>
      </c>
      <c r="G217" t="s">
        <v>111</v>
      </c>
      <c r="H217" t="s">
        <v>17</v>
      </c>
      <c r="I217" s="2">
        <v>44186</v>
      </c>
      <c r="J217" t="s">
        <v>288</v>
      </c>
      <c r="K217" t="s">
        <v>19</v>
      </c>
      <c r="L217" t="s">
        <v>20</v>
      </c>
      <c r="M217" t="s">
        <v>289</v>
      </c>
      <c r="N217" t="str">
        <f t="shared" si="7"/>
        <v>December</v>
      </c>
    </row>
    <row r="218" spans="1:14" x14ac:dyDescent="0.3">
      <c r="A218" t="s">
        <v>287</v>
      </c>
      <c r="B218" s="1">
        <v>8586</v>
      </c>
      <c r="C218" s="1">
        <f t="shared" si="6"/>
        <v>4760</v>
      </c>
      <c r="D218">
        <v>3826</v>
      </c>
      <c r="E218">
        <v>7</v>
      </c>
      <c r="F218" t="s">
        <v>47</v>
      </c>
      <c r="G218" t="s">
        <v>111</v>
      </c>
      <c r="H218" t="s">
        <v>17</v>
      </c>
      <c r="I218" s="2">
        <v>45114</v>
      </c>
      <c r="J218" t="s">
        <v>290</v>
      </c>
      <c r="K218" t="s">
        <v>19</v>
      </c>
      <c r="L218" t="s">
        <v>152</v>
      </c>
      <c r="M218" t="s">
        <v>107</v>
      </c>
      <c r="N218" t="str">
        <f t="shared" si="7"/>
        <v>July</v>
      </c>
    </row>
    <row r="219" spans="1:14" x14ac:dyDescent="0.3">
      <c r="A219" t="s">
        <v>291</v>
      </c>
      <c r="B219" s="1">
        <v>5047</v>
      </c>
      <c r="C219" s="1">
        <f t="shared" si="6"/>
        <v>2836</v>
      </c>
      <c r="D219">
        <v>2211</v>
      </c>
      <c r="E219">
        <v>13</v>
      </c>
      <c r="F219" t="s">
        <v>47</v>
      </c>
      <c r="G219" t="s">
        <v>62</v>
      </c>
      <c r="H219" t="s">
        <v>42</v>
      </c>
      <c r="I219" s="2">
        <v>45151</v>
      </c>
      <c r="J219" t="s">
        <v>292</v>
      </c>
      <c r="K219" t="s">
        <v>44</v>
      </c>
      <c r="L219" t="s">
        <v>94</v>
      </c>
      <c r="M219" t="s">
        <v>123</v>
      </c>
      <c r="N219" t="str">
        <f t="shared" si="7"/>
        <v>August</v>
      </c>
    </row>
    <row r="220" spans="1:14" x14ac:dyDescent="0.3">
      <c r="A220" t="s">
        <v>291</v>
      </c>
      <c r="B220" s="1">
        <v>5047</v>
      </c>
      <c r="C220" s="1">
        <f t="shared" si="6"/>
        <v>2836</v>
      </c>
      <c r="D220">
        <v>2211</v>
      </c>
      <c r="E220">
        <v>13</v>
      </c>
      <c r="F220" t="s">
        <v>47</v>
      </c>
      <c r="G220" t="s">
        <v>62</v>
      </c>
      <c r="H220" t="s">
        <v>42</v>
      </c>
      <c r="I220" s="2">
        <v>44231</v>
      </c>
      <c r="J220" t="s">
        <v>293</v>
      </c>
      <c r="K220" t="s">
        <v>23</v>
      </c>
      <c r="L220" t="s">
        <v>24</v>
      </c>
      <c r="M220" t="s">
        <v>294</v>
      </c>
      <c r="N220" t="str">
        <f t="shared" si="7"/>
        <v>February</v>
      </c>
    </row>
    <row r="221" spans="1:14" x14ac:dyDescent="0.3">
      <c r="A221" t="s">
        <v>291</v>
      </c>
      <c r="B221" s="1">
        <v>5047</v>
      </c>
      <c r="C221" s="1">
        <f t="shared" si="6"/>
        <v>2836</v>
      </c>
      <c r="D221">
        <v>2211</v>
      </c>
      <c r="E221">
        <v>13</v>
      </c>
      <c r="F221" t="s">
        <v>47</v>
      </c>
      <c r="G221" t="s">
        <v>62</v>
      </c>
      <c r="H221" t="s">
        <v>42</v>
      </c>
      <c r="I221" s="2">
        <v>44820</v>
      </c>
      <c r="J221" t="s">
        <v>295</v>
      </c>
      <c r="K221" t="s">
        <v>23</v>
      </c>
      <c r="L221" t="s">
        <v>174</v>
      </c>
      <c r="M221" t="s">
        <v>133</v>
      </c>
      <c r="N221" t="str">
        <f t="shared" si="7"/>
        <v>September</v>
      </c>
    </row>
    <row r="222" spans="1:14" x14ac:dyDescent="0.3">
      <c r="A222" t="s">
        <v>291</v>
      </c>
      <c r="B222" s="1">
        <v>5047</v>
      </c>
      <c r="C222" s="1">
        <f t="shared" si="6"/>
        <v>2836</v>
      </c>
      <c r="D222">
        <v>2211</v>
      </c>
      <c r="E222">
        <v>13</v>
      </c>
      <c r="F222" t="s">
        <v>47</v>
      </c>
      <c r="G222" t="s">
        <v>62</v>
      </c>
      <c r="H222" t="s">
        <v>42</v>
      </c>
      <c r="I222" s="2">
        <v>44687</v>
      </c>
      <c r="J222" t="s">
        <v>296</v>
      </c>
      <c r="K222" t="s">
        <v>27</v>
      </c>
      <c r="L222" t="s">
        <v>28</v>
      </c>
      <c r="M222" t="s">
        <v>182</v>
      </c>
      <c r="N222" t="str">
        <f t="shared" si="7"/>
        <v>May</v>
      </c>
    </row>
    <row r="223" spans="1:14" x14ac:dyDescent="0.3">
      <c r="A223" t="s">
        <v>297</v>
      </c>
      <c r="B223" s="1">
        <v>3657</v>
      </c>
      <c r="C223" s="1">
        <f t="shared" si="6"/>
        <v>3494</v>
      </c>
      <c r="D223">
        <v>163</v>
      </c>
      <c r="E223">
        <v>1</v>
      </c>
      <c r="F223" t="s">
        <v>47</v>
      </c>
      <c r="G223" t="s">
        <v>62</v>
      </c>
      <c r="H223" t="s">
        <v>17</v>
      </c>
      <c r="I223" s="2">
        <v>44344</v>
      </c>
      <c r="J223" t="s">
        <v>298</v>
      </c>
      <c r="K223" t="s">
        <v>44</v>
      </c>
      <c r="L223" t="s">
        <v>94</v>
      </c>
      <c r="M223" t="s">
        <v>110</v>
      </c>
      <c r="N223" t="str">
        <f t="shared" si="7"/>
        <v>May</v>
      </c>
    </row>
    <row r="224" spans="1:14" x14ac:dyDescent="0.3">
      <c r="A224" t="s">
        <v>299</v>
      </c>
      <c r="B224" s="1">
        <v>6471</v>
      </c>
      <c r="C224" s="1">
        <f t="shared" si="6"/>
        <v>3629</v>
      </c>
      <c r="D224">
        <v>2842</v>
      </c>
      <c r="E224">
        <v>18</v>
      </c>
      <c r="F224" t="s">
        <v>15</v>
      </c>
      <c r="G224" t="s">
        <v>16</v>
      </c>
      <c r="H224" t="s">
        <v>17</v>
      </c>
      <c r="I224" s="2">
        <v>45491</v>
      </c>
      <c r="J224" t="s">
        <v>300</v>
      </c>
      <c r="K224" t="s">
        <v>23</v>
      </c>
      <c r="L224" t="s">
        <v>174</v>
      </c>
      <c r="M224" t="s">
        <v>217</v>
      </c>
      <c r="N224" t="str">
        <f t="shared" si="7"/>
        <v>July</v>
      </c>
    </row>
    <row r="225" spans="1:14" x14ac:dyDescent="0.3">
      <c r="A225" t="s">
        <v>301</v>
      </c>
      <c r="B225" s="1">
        <v>949</v>
      </c>
      <c r="C225" s="1">
        <f t="shared" si="6"/>
        <v>648</v>
      </c>
      <c r="D225">
        <v>301</v>
      </c>
      <c r="E225">
        <v>9</v>
      </c>
      <c r="F225" t="s">
        <v>32</v>
      </c>
      <c r="G225" t="s">
        <v>80</v>
      </c>
      <c r="H225" t="s">
        <v>17</v>
      </c>
      <c r="I225" s="2">
        <v>45632</v>
      </c>
      <c r="J225" t="s">
        <v>302</v>
      </c>
      <c r="K225" t="s">
        <v>100</v>
      </c>
      <c r="L225" t="s">
        <v>119</v>
      </c>
      <c r="M225" t="s">
        <v>25</v>
      </c>
      <c r="N225" t="str">
        <f t="shared" si="7"/>
        <v>December</v>
      </c>
    </row>
    <row r="226" spans="1:14" x14ac:dyDescent="0.3">
      <c r="A226" t="s">
        <v>301</v>
      </c>
      <c r="B226" s="1">
        <v>6823</v>
      </c>
      <c r="C226" s="1">
        <f t="shared" si="6"/>
        <v>6052</v>
      </c>
      <c r="D226">
        <v>771</v>
      </c>
      <c r="E226">
        <v>6</v>
      </c>
      <c r="F226" t="s">
        <v>32</v>
      </c>
      <c r="G226" t="s">
        <v>80</v>
      </c>
      <c r="H226" t="s">
        <v>42</v>
      </c>
      <c r="I226" s="2">
        <v>45632</v>
      </c>
      <c r="J226" t="s">
        <v>302</v>
      </c>
      <c r="K226" t="s">
        <v>100</v>
      </c>
      <c r="L226" t="s">
        <v>119</v>
      </c>
      <c r="M226" t="s">
        <v>25</v>
      </c>
      <c r="N226" t="str">
        <f t="shared" si="7"/>
        <v>December</v>
      </c>
    </row>
    <row r="227" spans="1:14" x14ac:dyDescent="0.3">
      <c r="A227" t="s">
        <v>301</v>
      </c>
      <c r="B227" s="1">
        <v>4364</v>
      </c>
      <c r="C227" s="1">
        <f t="shared" si="6"/>
        <v>3533</v>
      </c>
      <c r="D227">
        <v>831</v>
      </c>
      <c r="E227">
        <v>2</v>
      </c>
      <c r="F227" t="s">
        <v>47</v>
      </c>
      <c r="G227" t="s">
        <v>48</v>
      </c>
      <c r="H227" t="s">
        <v>42</v>
      </c>
      <c r="I227" s="2">
        <v>45632</v>
      </c>
      <c r="J227" t="s">
        <v>302</v>
      </c>
      <c r="K227" t="s">
        <v>100</v>
      </c>
      <c r="L227" t="s">
        <v>119</v>
      </c>
      <c r="M227" t="s">
        <v>25</v>
      </c>
      <c r="N227" t="str">
        <f t="shared" si="7"/>
        <v>December</v>
      </c>
    </row>
    <row r="228" spans="1:14" x14ac:dyDescent="0.3">
      <c r="A228" t="s">
        <v>303</v>
      </c>
      <c r="B228" s="1">
        <v>6671</v>
      </c>
      <c r="C228" s="1">
        <f t="shared" si="6"/>
        <v>3874</v>
      </c>
      <c r="D228">
        <v>2797</v>
      </c>
      <c r="E228">
        <v>10</v>
      </c>
      <c r="F228" t="s">
        <v>15</v>
      </c>
      <c r="G228" t="s">
        <v>84</v>
      </c>
      <c r="H228" t="s">
        <v>17</v>
      </c>
      <c r="I228" s="2">
        <v>44907</v>
      </c>
      <c r="J228" t="s">
        <v>304</v>
      </c>
      <c r="K228" t="s">
        <v>23</v>
      </c>
      <c r="L228" t="s">
        <v>174</v>
      </c>
      <c r="M228" t="s">
        <v>154</v>
      </c>
      <c r="N228" t="str">
        <f t="shared" si="7"/>
        <v>December</v>
      </c>
    </row>
    <row r="229" spans="1:14" x14ac:dyDescent="0.3">
      <c r="A229" t="s">
        <v>305</v>
      </c>
      <c r="B229" s="1">
        <v>7472</v>
      </c>
      <c r="C229" s="1">
        <f t="shared" si="6"/>
        <v>6435</v>
      </c>
      <c r="D229">
        <v>1037</v>
      </c>
      <c r="E229">
        <v>3</v>
      </c>
      <c r="F229" t="s">
        <v>32</v>
      </c>
      <c r="G229" t="s">
        <v>66</v>
      </c>
      <c r="H229" t="s">
        <v>67</v>
      </c>
      <c r="I229" s="2">
        <v>44854</v>
      </c>
      <c r="J229" t="s">
        <v>306</v>
      </c>
      <c r="K229" t="s">
        <v>23</v>
      </c>
      <c r="L229" t="s">
        <v>65</v>
      </c>
      <c r="M229" t="s">
        <v>98</v>
      </c>
      <c r="N229" t="str">
        <f t="shared" si="7"/>
        <v>October</v>
      </c>
    </row>
    <row r="230" spans="1:14" x14ac:dyDescent="0.3">
      <c r="A230" t="s">
        <v>305</v>
      </c>
      <c r="B230" s="1">
        <v>9548</v>
      </c>
      <c r="C230" s="1">
        <f t="shared" si="6"/>
        <v>7742</v>
      </c>
      <c r="D230">
        <v>1806</v>
      </c>
      <c r="E230">
        <v>9</v>
      </c>
      <c r="F230" t="s">
        <v>15</v>
      </c>
      <c r="G230" t="s">
        <v>30</v>
      </c>
      <c r="H230" t="s">
        <v>67</v>
      </c>
      <c r="I230" s="2">
        <v>44854</v>
      </c>
      <c r="J230" t="s">
        <v>306</v>
      </c>
      <c r="K230" t="s">
        <v>23</v>
      </c>
      <c r="L230" t="s">
        <v>65</v>
      </c>
      <c r="M230" t="s">
        <v>98</v>
      </c>
      <c r="N230" t="str">
        <f t="shared" si="7"/>
        <v>October</v>
      </c>
    </row>
    <row r="231" spans="1:14" x14ac:dyDescent="0.3">
      <c r="A231" t="s">
        <v>307</v>
      </c>
      <c r="B231" s="1">
        <v>7759</v>
      </c>
      <c r="C231" s="1">
        <f t="shared" si="6"/>
        <v>4018</v>
      </c>
      <c r="D231">
        <v>3741</v>
      </c>
      <c r="E231">
        <v>17</v>
      </c>
      <c r="F231" t="s">
        <v>15</v>
      </c>
      <c r="G231" t="s">
        <v>30</v>
      </c>
      <c r="H231" t="s">
        <v>17</v>
      </c>
      <c r="I231" s="2">
        <v>44279</v>
      </c>
      <c r="J231" t="s">
        <v>308</v>
      </c>
      <c r="K231" t="s">
        <v>19</v>
      </c>
      <c r="L231" t="s">
        <v>20</v>
      </c>
      <c r="M231" t="s">
        <v>169</v>
      </c>
      <c r="N231" t="str">
        <f t="shared" si="7"/>
        <v>March</v>
      </c>
    </row>
    <row r="232" spans="1:14" x14ac:dyDescent="0.3">
      <c r="A232" t="s">
        <v>307</v>
      </c>
      <c r="B232" s="1">
        <v>7759</v>
      </c>
      <c r="C232" s="1">
        <f t="shared" si="6"/>
        <v>4018</v>
      </c>
      <c r="D232">
        <v>3741</v>
      </c>
      <c r="E232">
        <v>17</v>
      </c>
      <c r="F232" t="s">
        <v>15</v>
      </c>
      <c r="G232" t="s">
        <v>30</v>
      </c>
      <c r="H232" t="s">
        <v>17</v>
      </c>
      <c r="I232" s="2">
        <v>45663</v>
      </c>
      <c r="J232" t="s">
        <v>309</v>
      </c>
      <c r="K232" t="s">
        <v>73</v>
      </c>
      <c r="L232" t="s">
        <v>74</v>
      </c>
      <c r="M232" t="s">
        <v>310</v>
      </c>
      <c r="N232" t="str">
        <f t="shared" si="7"/>
        <v>January</v>
      </c>
    </row>
    <row r="233" spans="1:14" x14ac:dyDescent="0.3">
      <c r="A233" t="s">
        <v>307</v>
      </c>
      <c r="B233" s="1">
        <v>7521</v>
      </c>
      <c r="C233" s="1">
        <f t="shared" si="6"/>
        <v>4064</v>
      </c>
      <c r="D233">
        <v>3457</v>
      </c>
      <c r="E233">
        <v>16</v>
      </c>
      <c r="F233" t="s">
        <v>32</v>
      </c>
      <c r="G233" t="s">
        <v>59</v>
      </c>
      <c r="H233" t="s">
        <v>34</v>
      </c>
      <c r="I233" s="2">
        <v>44279</v>
      </c>
      <c r="J233" t="s">
        <v>308</v>
      </c>
      <c r="K233" t="s">
        <v>19</v>
      </c>
      <c r="L233" t="s">
        <v>20</v>
      </c>
      <c r="M233" t="s">
        <v>169</v>
      </c>
      <c r="N233" t="str">
        <f t="shared" si="7"/>
        <v>March</v>
      </c>
    </row>
    <row r="234" spans="1:14" x14ac:dyDescent="0.3">
      <c r="A234" t="s">
        <v>307</v>
      </c>
      <c r="B234" s="1">
        <v>7521</v>
      </c>
      <c r="C234" s="1">
        <f t="shared" si="6"/>
        <v>4064</v>
      </c>
      <c r="D234">
        <v>3457</v>
      </c>
      <c r="E234">
        <v>16</v>
      </c>
      <c r="F234" t="s">
        <v>32</v>
      </c>
      <c r="G234" t="s">
        <v>59</v>
      </c>
      <c r="H234" t="s">
        <v>34</v>
      </c>
      <c r="I234" s="2">
        <v>45663</v>
      </c>
      <c r="J234" t="s">
        <v>309</v>
      </c>
      <c r="K234" t="s">
        <v>73</v>
      </c>
      <c r="L234" t="s">
        <v>74</v>
      </c>
      <c r="M234" t="s">
        <v>310</v>
      </c>
      <c r="N234" t="str">
        <f t="shared" si="7"/>
        <v>January</v>
      </c>
    </row>
    <row r="235" spans="1:14" x14ac:dyDescent="0.3">
      <c r="A235" t="s">
        <v>311</v>
      </c>
      <c r="B235" s="1">
        <v>9704</v>
      </c>
      <c r="C235" s="1">
        <f t="shared" si="6"/>
        <v>5365</v>
      </c>
      <c r="D235">
        <v>4339</v>
      </c>
      <c r="E235">
        <v>12</v>
      </c>
      <c r="F235" t="s">
        <v>32</v>
      </c>
      <c r="G235" t="s">
        <v>33</v>
      </c>
      <c r="H235" t="s">
        <v>67</v>
      </c>
      <c r="I235" s="2">
        <v>44261</v>
      </c>
      <c r="J235" t="s">
        <v>312</v>
      </c>
      <c r="K235" t="s">
        <v>73</v>
      </c>
      <c r="L235" t="s">
        <v>140</v>
      </c>
      <c r="M235" t="s">
        <v>169</v>
      </c>
      <c r="N235" t="str">
        <f t="shared" si="7"/>
        <v>March</v>
      </c>
    </row>
    <row r="236" spans="1:14" x14ac:dyDescent="0.3">
      <c r="A236" t="s">
        <v>311</v>
      </c>
      <c r="B236" s="1">
        <v>4948</v>
      </c>
      <c r="C236" s="1">
        <f t="shared" si="6"/>
        <v>2592</v>
      </c>
      <c r="D236">
        <v>2356</v>
      </c>
      <c r="E236">
        <v>18</v>
      </c>
      <c r="F236" t="s">
        <v>15</v>
      </c>
      <c r="G236" t="s">
        <v>30</v>
      </c>
      <c r="H236" t="s">
        <v>34</v>
      </c>
      <c r="I236" s="2">
        <v>44261</v>
      </c>
      <c r="J236" t="s">
        <v>312</v>
      </c>
      <c r="K236" t="s">
        <v>73</v>
      </c>
      <c r="L236" t="s">
        <v>140</v>
      </c>
      <c r="M236" t="s">
        <v>169</v>
      </c>
      <c r="N236" t="str">
        <f t="shared" si="7"/>
        <v>March</v>
      </c>
    </row>
    <row r="237" spans="1:14" x14ac:dyDescent="0.3">
      <c r="A237" t="s">
        <v>311</v>
      </c>
      <c r="B237" s="1">
        <v>6435</v>
      </c>
      <c r="C237" s="1">
        <f t="shared" si="6"/>
        <v>6101</v>
      </c>
      <c r="D237">
        <v>334</v>
      </c>
      <c r="E237">
        <v>10</v>
      </c>
      <c r="F237" t="s">
        <v>15</v>
      </c>
      <c r="G237" t="s">
        <v>16</v>
      </c>
      <c r="H237" t="s">
        <v>34</v>
      </c>
      <c r="I237" s="2">
        <v>44261</v>
      </c>
      <c r="J237" t="s">
        <v>312</v>
      </c>
      <c r="K237" t="s">
        <v>73</v>
      </c>
      <c r="L237" t="s">
        <v>140</v>
      </c>
      <c r="M237" t="s">
        <v>169</v>
      </c>
      <c r="N237" t="str">
        <f t="shared" si="7"/>
        <v>March</v>
      </c>
    </row>
    <row r="238" spans="1:14" x14ac:dyDescent="0.3">
      <c r="A238" t="s">
        <v>313</v>
      </c>
      <c r="B238" s="1">
        <v>9965</v>
      </c>
      <c r="C238" s="1">
        <f t="shared" si="6"/>
        <v>6932</v>
      </c>
      <c r="D238">
        <v>3033</v>
      </c>
      <c r="E238">
        <v>16</v>
      </c>
      <c r="F238" t="s">
        <v>32</v>
      </c>
      <c r="G238" t="s">
        <v>59</v>
      </c>
      <c r="H238" t="s">
        <v>67</v>
      </c>
      <c r="I238" s="2">
        <v>43999</v>
      </c>
      <c r="J238" t="s">
        <v>314</v>
      </c>
      <c r="K238" t="s">
        <v>44</v>
      </c>
      <c r="L238" t="s">
        <v>94</v>
      </c>
      <c r="M238" t="s">
        <v>315</v>
      </c>
      <c r="N238" t="str">
        <f t="shared" si="7"/>
        <v>June</v>
      </c>
    </row>
    <row r="239" spans="1:14" x14ac:dyDescent="0.3">
      <c r="A239" t="s">
        <v>313</v>
      </c>
      <c r="B239" s="1">
        <v>9965</v>
      </c>
      <c r="C239" s="1">
        <f t="shared" si="6"/>
        <v>6932</v>
      </c>
      <c r="D239">
        <v>3033</v>
      </c>
      <c r="E239">
        <v>16</v>
      </c>
      <c r="F239" t="s">
        <v>32</v>
      </c>
      <c r="G239" t="s">
        <v>59</v>
      </c>
      <c r="H239" t="s">
        <v>67</v>
      </c>
      <c r="I239" s="2">
        <v>45170</v>
      </c>
      <c r="J239" t="s">
        <v>316</v>
      </c>
      <c r="K239" t="s">
        <v>27</v>
      </c>
      <c r="L239" t="s">
        <v>28</v>
      </c>
      <c r="M239" t="s">
        <v>275</v>
      </c>
      <c r="N239" t="str">
        <f t="shared" si="7"/>
        <v>September</v>
      </c>
    </row>
    <row r="240" spans="1:14" x14ac:dyDescent="0.3">
      <c r="A240" t="s">
        <v>317</v>
      </c>
      <c r="B240" s="1">
        <v>1523</v>
      </c>
      <c r="C240" s="1">
        <f t="shared" si="6"/>
        <v>1289</v>
      </c>
      <c r="D240">
        <v>234</v>
      </c>
      <c r="E240">
        <v>3</v>
      </c>
      <c r="F240" t="s">
        <v>47</v>
      </c>
      <c r="G240" t="s">
        <v>62</v>
      </c>
      <c r="H240" t="s">
        <v>17</v>
      </c>
      <c r="I240" s="2">
        <v>45085</v>
      </c>
      <c r="J240" t="s">
        <v>318</v>
      </c>
      <c r="K240" t="s">
        <v>27</v>
      </c>
      <c r="L240" t="s">
        <v>70</v>
      </c>
      <c r="M240" t="s">
        <v>21</v>
      </c>
      <c r="N240" t="str">
        <f t="shared" si="7"/>
        <v>June</v>
      </c>
    </row>
    <row r="241" spans="1:14" x14ac:dyDescent="0.3">
      <c r="A241" t="s">
        <v>317</v>
      </c>
      <c r="B241" s="1">
        <v>9073</v>
      </c>
      <c r="C241" s="1">
        <f t="shared" si="6"/>
        <v>8649</v>
      </c>
      <c r="D241">
        <v>424</v>
      </c>
      <c r="E241">
        <v>7</v>
      </c>
      <c r="F241" t="s">
        <v>15</v>
      </c>
      <c r="G241" t="s">
        <v>16</v>
      </c>
      <c r="H241" t="s">
        <v>34</v>
      </c>
      <c r="I241" s="2">
        <v>45085</v>
      </c>
      <c r="J241" t="s">
        <v>318</v>
      </c>
      <c r="K241" t="s">
        <v>27</v>
      </c>
      <c r="L241" t="s">
        <v>70</v>
      </c>
      <c r="M241" t="s">
        <v>21</v>
      </c>
      <c r="N241" t="str">
        <f t="shared" si="7"/>
        <v>June</v>
      </c>
    </row>
    <row r="242" spans="1:14" x14ac:dyDescent="0.3">
      <c r="A242" t="s">
        <v>319</v>
      </c>
      <c r="B242" s="1">
        <v>6447</v>
      </c>
      <c r="C242" s="1">
        <f t="shared" si="6"/>
        <v>3368</v>
      </c>
      <c r="D242">
        <v>3079</v>
      </c>
      <c r="E242">
        <v>20</v>
      </c>
      <c r="F242" t="s">
        <v>15</v>
      </c>
      <c r="G242" t="s">
        <v>41</v>
      </c>
      <c r="H242" t="s">
        <v>67</v>
      </c>
      <c r="I242" s="2">
        <v>44280</v>
      </c>
      <c r="J242" t="s">
        <v>320</v>
      </c>
      <c r="K242" t="s">
        <v>27</v>
      </c>
      <c r="L242" t="s">
        <v>70</v>
      </c>
      <c r="M242" t="s">
        <v>169</v>
      </c>
      <c r="N242" t="str">
        <f t="shared" si="7"/>
        <v>March</v>
      </c>
    </row>
    <row r="243" spans="1:14" x14ac:dyDescent="0.3">
      <c r="A243" t="s">
        <v>319</v>
      </c>
      <c r="B243" s="1">
        <v>8947</v>
      </c>
      <c r="C243" s="1">
        <f t="shared" si="6"/>
        <v>6140</v>
      </c>
      <c r="D243">
        <v>2807</v>
      </c>
      <c r="E243">
        <v>6</v>
      </c>
      <c r="F243" t="s">
        <v>15</v>
      </c>
      <c r="G243" t="s">
        <v>16</v>
      </c>
      <c r="H243" t="s">
        <v>49</v>
      </c>
      <c r="I243" s="2">
        <v>44280</v>
      </c>
      <c r="J243" t="s">
        <v>320</v>
      </c>
      <c r="K243" t="s">
        <v>27</v>
      </c>
      <c r="L243" t="s">
        <v>70</v>
      </c>
      <c r="M243" t="s">
        <v>169</v>
      </c>
      <c r="N243" t="str">
        <f t="shared" si="7"/>
        <v>March</v>
      </c>
    </row>
    <row r="244" spans="1:14" x14ac:dyDescent="0.3">
      <c r="A244" t="s">
        <v>321</v>
      </c>
      <c r="B244" s="1">
        <v>914</v>
      </c>
      <c r="C244" s="1">
        <f t="shared" si="6"/>
        <v>514</v>
      </c>
      <c r="D244">
        <v>400</v>
      </c>
      <c r="E244">
        <v>8</v>
      </c>
      <c r="F244" t="s">
        <v>32</v>
      </c>
      <c r="G244" t="s">
        <v>33</v>
      </c>
      <c r="H244" t="s">
        <v>34</v>
      </c>
      <c r="I244" s="2">
        <v>44199</v>
      </c>
      <c r="J244" t="s">
        <v>322</v>
      </c>
      <c r="K244" t="s">
        <v>44</v>
      </c>
      <c r="L244" t="s">
        <v>45</v>
      </c>
      <c r="M244" t="s">
        <v>278</v>
      </c>
      <c r="N244" t="str">
        <f t="shared" si="7"/>
        <v>January</v>
      </c>
    </row>
    <row r="245" spans="1:14" x14ac:dyDescent="0.3">
      <c r="A245" t="s">
        <v>321</v>
      </c>
      <c r="B245" s="1">
        <v>1548</v>
      </c>
      <c r="C245" s="1">
        <f t="shared" si="6"/>
        <v>882</v>
      </c>
      <c r="D245">
        <v>666</v>
      </c>
      <c r="E245">
        <v>3</v>
      </c>
      <c r="F245" t="s">
        <v>32</v>
      </c>
      <c r="G245" t="s">
        <v>66</v>
      </c>
      <c r="H245" t="s">
        <v>49</v>
      </c>
      <c r="I245" s="2">
        <v>44199</v>
      </c>
      <c r="J245" t="s">
        <v>322</v>
      </c>
      <c r="K245" t="s">
        <v>44</v>
      </c>
      <c r="L245" t="s">
        <v>45</v>
      </c>
      <c r="M245" t="s">
        <v>278</v>
      </c>
      <c r="N245" t="str">
        <f t="shared" si="7"/>
        <v>January</v>
      </c>
    </row>
    <row r="246" spans="1:14" x14ac:dyDescent="0.3">
      <c r="A246" t="s">
        <v>323</v>
      </c>
      <c r="B246" s="1">
        <v>2759</v>
      </c>
      <c r="C246" s="1">
        <f t="shared" si="6"/>
        <v>1610</v>
      </c>
      <c r="D246">
        <v>1149</v>
      </c>
      <c r="E246">
        <v>6</v>
      </c>
      <c r="F246" t="s">
        <v>47</v>
      </c>
      <c r="G246" t="s">
        <v>48</v>
      </c>
      <c r="H246" t="s">
        <v>49</v>
      </c>
      <c r="I246" s="2">
        <v>45653</v>
      </c>
      <c r="J246" t="s">
        <v>324</v>
      </c>
      <c r="K246" t="s">
        <v>27</v>
      </c>
      <c r="L246" t="s">
        <v>53</v>
      </c>
      <c r="M246" t="s">
        <v>25</v>
      </c>
      <c r="N246" t="str">
        <f t="shared" si="7"/>
        <v>December</v>
      </c>
    </row>
    <row r="247" spans="1:14" x14ac:dyDescent="0.3">
      <c r="A247" t="s">
        <v>325</v>
      </c>
      <c r="B247" s="1">
        <v>1341</v>
      </c>
      <c r="C247" s="1">
        <f t="shared" si="6"/>
        <v>726</v>
      </c>
      <c r="D247">
        <v>615</v>
      </c>
      <c r="E247">
        <v>4</v>
      </c>
      <c r="F247" t="s">
        <v>15</v>
      </c>
      <c r="G247" t="s">
        <v>41</v>
      </c>
      <c r="H247" t="s">
        <v>17</v>
      </c>
      <c r="I247" s="2">
        <v>44785</v>
      </c>
      <c r="J247" t="s">
        <v>326</v>
      </c>
      <c r="K247" t="s">
        <v>19</v>
      </c>
      <c r="L247" t="s">
        <v>36</v>
      </c>
      <c r="M247" t="s">
        <v>211</v>
      </c>
      <c r="N247" t="str">
        <f t="shared" si="7"/>
        <v>August</v>
      </c>
    </row>
    <row r="248" spans="1:14" x14ac:dyDescent="0.3">
      <c r="A248" t="s">
        <v>327</v>
      </c>
      <c r="B248" s="1">
        <v>9851</v>
      </c>
      <c r="C248" s="1">
        <f t="shared" si="6"/>
        <v>7182</v>
      </c>
      <c r="D248">
        <v>2669</v>
      </c>
      <c r="E248">
        <v>19</v>
      </c>
      <c r="F248" t="s">
        <v>15</v>
      </c>
      <c r="G248" t="s">
        <v>16</v>
      </c>
      <c r="H248" t="s">
        <v>34</v>
      </c>
      <c r="I248" s="2">
        <v>44648</v>
      </c>
      <c r="J248" t="s">
        <v>328</v>
      </c>
      <c r="K248" t="s">
        <v>100</v>
      </c>
      <c r="L248" t="s">
        <v>119</v>
      </c>
      <c r="M248" t="s">
        <v>136</v>
      </c>
      <c r="N248" t="str">
        <f t="shared" si="7"/>
        <v>March</v>
      </c>
    </row>
    <row r="249" spans="1:14" x14ac:dyDescent="0.3">
      <c r="A249" t="s">
        <v>327</v>
      </c>
      <c r="B249" s="1">
        <v>9851</v>
      </c>
      <c r="C249" s="1">
        <f t="shared" si="6"/>
        <v>7182</v>
      </c>
      <c r="D249">
        <v>2669</v>
      </c>
      <c r="E249">
        <v>19</v>
      </c>
      <c r="F249" t="s">
        <v>15</v>
      </c>
      <c r="G249" t="s">
        <v>16</v>
      </c>
      <c r="H249" t="s">
        <v>34</v>
      </c>
      <c r="I249" s="2">
        <v>45122</v>
      </c>
      <c r="J249" t="s">
        <v>329</v>
      </c>
      <c r="K249" t="s">
        <v>27</v>
      </c>
      <c r="L249" t="s">
        <v>28</v>
      </c>
      <c r="M249" t="s">
        <v>107</v>
      </c>
      <c r="N249" t="str">
        <f t="shared" si="7"/>
        <v>July</v>
      </c>
    </row>
    <row r="250" spans="1:14" x14ac:dyDescent="0.3">
      <c r="A250" t="s">
        <v>327</v>
      </c>
      <c r="B250" s="1">
        <v>9851</v>
      </c>
      <c r="C250" s="1">
        <f t="shared" si="6"/>
        <v>7182</v>
      </c>
      <c r="D250">
        <v>2669</v>
      </c>
      <c r="E250">
        <v>19</v>
      </c>
      <c r="F250" t="s">
        <v>15</v>
      </c>
      <c r="G250" t="s">
        <v>16</v>
      </c>
      <c r="H250" t="s">
        <v>34</v>
      </c>
      <c r="I250" s="2">
        <v>44826</v>
      </c>
      <c r="J250" t="s">
        <v>330</v>
      </c>
      <c r="K250" t="s">
        <v>19</v>
      </c>
      <c r="L250" t="s">
        <v>36</v>
      </c>
      <c r="M250" t="s">
        <v>133</v>
      </c>
      <c r="N250" t="str">
        <f t="shared" si="7"/>
        <v>September</v>
      </c>
    </row>
    <row r="251" spans="1:14" x14ac:dyDescent="0.3">
      <c r="A251" t="s">
        <v>327</v>
      </c>
      <c r="B251" s="1">
        <v>9989</v>
      </c>
      <c r="C251" s="1">
        <f t="shared" si="6"/>
        <v>6059</v>
      </c>
      <c r="D251">
        <v>3930</v>
      </c>
      <c r="E251">
        <v>14</v>
      </c>
      <c r="F251" t="s">
        <v>47</v>
      </c>
      <c r="G251" t="s">
        <v>48</v>
      </c>
      <c r="H251" t="s">
        <v>34</v>
      </c>
      <c r="I251" s="2">
        <v>44648</v>
      </c>
      <c r="J251" t="s">
        <v>328</v>
      </c>
      <c r="K251" t="s">
        <v>100</v>
      </c>
      <c r="L251" t="s">
        <v>119</v>
      </c>
      <c r="M251" t="s">
        <v>136</v>
      </c>
      <c r="N251" t="str">
        <f t="shared" si="7"/>
        <v>March</v>
      </c>
    </row>
    <row r="252" spans="1:14" x14ac:dyDescent="0.3">
      <c r="A252" t="s">
        <v>327</v>
      </c>
      <c r="B252" s="1">
        <v>9989</v>
      </c>
      <c r="C252" s="1">
        <f t="shared" si="6"/>
        <v>6059</v>
      </c>
      <c r="D252">
        <v>3930</v>
      </c>
      <c r="E252">
        <v>14</v>
      </c>
      <c r="F252" t="s">
        <v>47</v>
      </c>
      <c r="G252" t="s">
        <v>48</v>
      </c>
      <c r="H252" t="s">
        <v>34</v>
      </c>
      <c r="I252" s="2">
        <v>45122</v>
      </c>
      <c r="J252" t="s">
        <v>329</v>
      </c>
      <c r="K252" t="s">
        <v>27</v>
      </c>
      <c r="L252" t="s">
        <v>28</v>
      </c>
      <c r="M252" t="s">
        <v>107</v>
      </c>
      <c r="N252" t="str">
        <f t="shared" si="7"/>
        <v>July</v>
      </c>
    </row>
    <row r="253" spans="1:14" x14ac:dyDescent="0.3">
      <c r="A253" t="s">
        <v>327</v>
      </c>
      <c r="B253" s="1">
        <v>9989</v>
      </c>
      <c r="C253" s="1">
        <f t="shared" si="6"/>
        <v>6059</v>
      </c>
      <c r="D253">
        <v>3930</v>
      </c>
      <c r="E253">
        <v>14</v>
      </c>
      <c r="F253" t="s">
        <v>47</v>
      </c>
      <c r="G253" t="s">
        <v>48</v>
      </c>
      <c r="H253" t="s">
        <v>34</v>
      </c>
      <c r="I253" s="2">
        <v>44826</v>
      </c>
      <c r="J253" t="s">
        <v>330</v>
      </c>
      <c r="K253" t="s">
        <v>19</v>
      </c>
      <c r="L253" t="s">
        <v>36</v>
      </c>
      <c r="M253" t="s">
        <v>133</v>
      </c>
      <c r="N253" t="str">
        <f t="shared" si="7"/>
        <v>September</v>
      </c>
    </row>
    <row r="254" spans="1:14" x14ac:dyDescent="0.3">
      <c r="A254" t="s">
        <v>331</v>
      </c>
      <c r="B254" s="1">
        <v>7421</v>
      </c>
      <c r="C254" s="1">
        <f t="shared" si="6"/>
        <v>6463</v>
      </c>
      <c r="D254">
        <v>958</v>
      </c>
      <c r="E254">
        <v>10</v>
      </c>
      <c r="F254" t="s">
        <v>47</v>
      </c>
      <c r="G254" t="s">
        <v>48</v>
      </c>
      <c r="H254" t="s">
        <v>67</v>
      </c>
      <c r="I254" s="2">
        <v>44915</v>
      </c>
      <c r="J254" t="s">
        <v>332</v>
      </c>
      <c r="K254" t="s">
        <v>73</v>
      </c>
      <c r="L254" t="s">
        <v>140</v>
      </c>
      <c r="M254" t="s">
        <v>154</v>
      </c>
      <c r="N254" t="str">
        <f t="shared" si="7"/>
        <v>December</v>
      </c>
    </row>
    <row r="255" spans="1:14" x14ac:dyDescent="0.3">
      <c r="A255" t="s">
        <v>331</v>
      </c>
      <c r="B255" s="1">
        <v>7421</v>
      </c>
      <c r="C255" s="1">
        <f t="shared" si="6"/>
        <v>6463</v>
      </c>
      <c r="D255">
        <v>958</v>
      </c>
      <c r="E255">
        <v>10</v>
      </c>
      <c r="F255" t="s">
        <v>47</v>
      </c>
      <c r="G255" t="s">
        <v>48</v>
      </c>
      <c r="H255" t="s">
        <v>67</v>
      </c>
      <c r="I255" s="2">
        <v>44577</v>
      </c>
      <c r="J255" t="s">
        <v>333</v>
      </c>
      <c r="K255" t="s">
        <v>73</v>
      </c>
      <c r="L255" t="s">
        <v>140</v>
      </c>
      <c r="M255" t="s">
        <v>89</v>
      </c>
      <c r="N255" t="str">
        <f t="shared" si="7"/>
        <v>January</v>
      </c>
    </row>
    <row r="256" spans="1:14" x14ac:dyDescent="0.3">
      <c r="A256" t="s">
        <v>331</v>
      </c>
      <c r="B256" s="1">
        <v>7421</v>
      </c>
      <c r="C256" s="1">
        <f t="shared" si="6"/>
        <v>6463</v>
      </c>
      <c r="D256">
        <v>958</v>
      </c>
      <c r="E256">
        <v>10</v>
      </c>
      <c r="F256" t="s">
        <v>47</v>
      </c>
      <c r="G256" t="s">
        <v>48</v>
      </c>
      <c r="H256" t="s">
        <v>67</v>
      </c>
      <c r="I256" s="2">
        <v>44955</v>
      </c>
      <c r="J256" t="s">
        <v>334</v>
      </c>
      <c r="K256" t="s">
        <v>73</v>
      </c>
      <c r="L256" t="s">
        <v>74</v>
      </c>
      <c r="M256" t="s">
        <v>335</v>
      </c>
      <c r="N256" t="str">
        <f t="shared" si="7"/>
        <v>January</v>
      </c>
    </row>
    <row r="257" spans="1:14" x14ac:dyDescent="0.3">
      <c r="A257" t="s">
        <v>336</v>
      </c>
      <c r="B257" s="1">
        <v>3099</v>
      </c>
      <c r="C257" s="1">
        <f t="shared" si="6"/>
        <v>2620</v>
      </c>
      <c r="D257">
        <v>479</v>
      </c>
      <c r="E257">
        <v>1</v>
      </c>
      <c r="F257" t="s">
        <v>32</v>
      </c>
      <c r="G257" t="s">
        <v>66</v>
      </c>
      <c r="H257" t="s">
        <v>67</v>
      </c>
      <c r="I257" s="2">
        <v>44576</v>
      </c>
      <c r="J257" t="s">
        <v>337</v>
      </c>
      <c r="K257" t="s">
        <v>27</v>
      </c>
      <c r="L257" t="s">
        <v>28</v>
      </c>
      <c r="M257" t="s">
        <v>89</v>
      </c>
      <c r="N257" t="str">
        <f t="shared" si="7"/>
        <v>January</v>
      </c>
    </row>
    <row r="258" spans="1:14" x14ac:dyDescent="0.3">
      <c r="A258" t="s">
        <v>336</v>
      </c>
      <c r="B258" s="1">
        <v>2521</v>
      </c>
      <c r="C258" s="1">
        <f t="shared" ref="C258:C321" si="8">B258-D258</f>
        <v>1615</v>
      </c>
      <c r="D258">
        <v>906</v>
      </c>
      <c r="E258">
        <v>7</v>
      </c>
      <c r="F258" t="s">
        <v>15</v>
      </c>
      <c r="G258" t="s">
        <v>84</v>
      </c>
      <c r="H258" t="s">
        <v>67</v>
      </c>
      <c r="I258" s="2">
        <v>44576</v>
      </c>
      <c r="J258" t="s">
        <v>337</v>
      </c>
      <c r="K258" t="s">
        <v>27</v>
      </c>
      <c r="L258" t="s">
        <v>28</v>
      </c>
      <c r="M258" t="s">
        <v>89</v>
      </c>
      <c r="N258" t="str">
        <f t="shared" si="7"/>
        <v>January</v>
      </c>
    </row>
    <row r="259" spans="1:14" x14ac:dyDescent="0.3">
      <c r="A259" t="s">
        <v>338</v>
      </c>
      <c r="B259" s="1">
        <v>6962</v>
      </c>
      <c r="C259" s="1">
        <f t="shared" si="8"/>
        <v>3533</v>
      </c>
      <c r="D259">
        <v>3429</v>
      </c>
      <c r="E259">
        <v>12</v>
      </c>
      <c r="F259" t="s">
        <v>15</v>
      </c>
      <c r="G259" t="s">
        <v>16</v>
      </c>
      <c r="H259" t="s">
        <v>17</v>
      </c>
      <c r="I259" s="2">
        <v>45375</v>
      </c>
      <c r="J259" t="s">
        <v>339</v>
      </c>
      <c r="K259" t="s">
        <v>73</v>
      </c>
      <c r="L259" t="s">
        <v>74</v>
      </c>
      <c r="M259" t="s">
        <v>340</v>
      </c>
      <c r="N259" t="str">
        <f t="shared" ref="N259:N322" si="9">TEXT(DATE(LEFT(M259,4),RIGHT(M259,2),1),"mmmm")</f>
        <v>March</v>
      </c>
    </row>
    <row r="260" spans="1:14" x14ac:dyDescent="0.3">
      <c r="A260" t="s">
        <v>338</v>
      </c>
      <c r="B260" s="1">
        <v>6962</v>
      </c>
      <c r="C260" s="1">
        <f t="shared" si="8"/>
        <v>3533</v>
      </c>
      <c r="D260">
        <v>3429</v>
      </c>
      <c r="E260">
        <v>12</v>
      </c>
      <c r="F260" t="s">
        <v>15</v>
      </c>
      <c r="G260" t="s">
        <v>16</v>
      </c>
      <c r="H260" t="s">
        <v>17</v>
      </c>
      <c r="I260" s="2">
        <v>45707</v>
      </c>
      <c r="J260" t="s">
        <v>341</v>
      </c>
      <c r="K260" t="s">
        <v>19</v>
      </c>
      <c r="L260" t="s">
        <v>20</v>
      </c>
      <c r="M260" t="s">
        <v>75</v>
      </c>
      <c r="N260" t="str">
        <f t="shared" si="9"/>
        <v>February</v>
      </c>
    </row>
    <row r="261" spans="1:14" x14ac:dyDescent="0.3">
      <c r="A261" t="s">
        <v>342</v>
      </c>
      <c r="B261" s="1">
        <v>1085</v>
      </c>
      <c r="C261" s="1">
        <f t="shared" si="8"/>
        <v>784</v>
      </c>
      <c r="D261">
        <v>301</v>
      </c>
      <c r="E261">
        <v>20</v>
      </c>
      <c r="F261" t="s">
        <v>47</v>
      </c>
      <c r="G261" t="s">
        <v>111</v>
      </c>
      <c r="H261" t="s">
        <v>17</v>
      </c>
      <c r="I261" s="2">
        <v>45486</v>
      </c>
      <c r="J261" t="s">
        <v>343</v>
      </c>
      <c r="K261" t="s">
        <v>27</v>
      </c>
      <c r="L261" t="s">
        <v>28</v>
      </c>
      <c r="M261" t="s">
        <v>217</v>
      </c>
      <c r="N261" t="str">
        <f t="shared" si="9"/>
        <v>July</v>
      </c>
    </row>
    <row r="262" spans="1:14" x14ac:dyDescent="0.3">
      <c r="A262" t="s">
        <v>344</v>
      </c>
      <c r="B262" s="1">
        <v>738</v>
      </c>
      <c r="C262" s="1">
        <f t="shared" si="8"/>
        <v>396</v>
      </c>
      <c r="D262">
        <v>342</v>
      </c>
      <c r="E262">
        <v>2</v>
      </c>
      <c r="F262" t="s">
        <v>47</v>
      </c>
      <c r="G262" t="s">
        <v>51</v>
      </c>
      <c r="H262" t="s">
        <v>34</v>
      </c>
      <c r="I262" s="2">
        <v>45044</v>
      </c>
      <c r="J262" t="s">
        <v>345</v>
      </c>
      <c r="K262" t="s">
        <v>100</v>
      </c>
      <c r="L262" t="s">
        <v>109</v>
      </c>
      <c r="M262" t="s">
        <v>147</v>
      </c>
      <c r="N262" t="str">
        <f t="shared" si="9"/>
        <v>April</v>
      </c>
    </row>
    <row r="263" spans="1:14" x14ac:dyDescent="0.3">
      <c r="A263" t="s">
        <v>344</v>
      </c>
      <c r="B263" s="1">
        <v>738</v>
      </c>
      <c r="C263" s="1">
        <f t="shared" si="8"/>
        <v>396</v>
      </c>
      <c r="D263">
        <v>342</v>
      </c>
      <c r="E263">
        <v>2</v>
      </c>
      <c r="F263" t="s">
        <v>47</v>
      </c>
      <c r="G263" t="s">
        <v>51</v>
      </c>
      <c r="H263" t="s">
        <v>34</v>
      </c>
      <c r="I263" s="2">
        <v>44170</v>
      </c>
      <c r="J263" t="s">
        <v>346</v>
      </c>
      <c r="K263" t="s">
        <v>27</v>
      </c>
      <c r="L263" t="s">
        <v>28</v>
      </c>
      <c r="M263" t="s">
        <v>289</v>
      </c>
      <c r="N263" t="str">
        <f t="shared" si="9"/>
        <v>December</v>
      </c>
    </row>
    <row r="264" spans="1:14" x14ac:dyDescent="0.3">
      <c r="A264" t="s">
        <v>344</v>
      </c>
      <c r="B264" s="1">
        <v>738</v>
      </c>
      <c r="C264" s="1">
        <f t="shared" si="8"/>
        <v>396</v>
      </c>
      <c r="D264">
        <v>342</v>
      </c>
      <c r="E264">
        <v>2</v>
      </c>
      <c r="F264" t="s">
        <v>47</v>
      </c>
      <c r="G264" t="s">
        <v>51</v>
      </c>
      <c r="H264" t="s">
        <v>34</v>
      </c>
      <c r="I264" s="2">
        <v>45426</v>
      </c>
      <c r="J264" t="s">
        <v>347</v>
      </c>
      <c r="K264" t="s">
        <v>100</v>
      </c>
      <c r="L264" t="s">
        <v>109</v>
      </c>
      <c r="M264" t="s">
        <v>37</v>
      </c>
      <c r="N264" t="str">
        <f t="shared" si="9"/>
        <v>May</v>
      </c>
    </row>
    <row r="265" spans="1:14" x14ac:dyDescent="0.3">
      <c r="A265" t="s">
        <v>344</v>
      </c>
      <c r="B265" s="1">
        <v>738</v>
      </c>
      <c r="C265" s="1">
        <f t="shared" si="8"/>
        <v>396</v>
      </c>
      <c r="D265">
        <v>342</v>
      </c>
      <c r="E265">
        <v>2</v>
      </c>
      <c r="F265" t="s">
        <v>47</v>
      </c>
      <c r="G265" t="s">
        <v>51</v>
      </c>
      <c r="H265" t="s">
        <v>34</v>
      </c>
      <c r="I265" s="2">
        <v>44579</v>
      </c>
      <c r="J265" t="s">
        <v>348</v>
      </c>
      <c r="K265" t="s">
        <v>27</v>
      </c>
      <c r="L265" t="s">
        <v>53</v>
      </c>
      <c r="M265" t="s">
        <v>89</v>
      </c>
      <c r="N265" t="str">
        <f t="shared" si="9"/>
        <v>January</v>
      </c>
    </row>
    <row r="266" spans="1:14" x14ac:dyDescent="0.3">
      <c r="A266" t="s">
        <v>349</v>
      </c>
      <c r="B266" s="1">
        <v>1366</v>
      </c>
      <c r="C266" s="1">
        <f t="shared" si="8"/>
        <v>1124</v>
      </c>
      <c r="D266">
        <v>242</v>
      </c>
      <c r="E266">
        <v>17</v>
      </c>
      <c r="F266" t="s">
        <v>15</v>
      </c>
      <c r="G266" t="s">
        <v>16</v>
      </c>
      <c r="H266" t="s">
        <v>42</v>
      </c>
      <c r="I266" s="2">
        <v>45187</v>
      </c>
      <c r="J266" t="s">
        <v>350</v>
      </c>
      <c r="K266" t="s">
        <v>100</v>
      </c>
      <c r="L266" t="s">
        <v>101</v>
      </c>
      <c r="M266" t="s">
        <v>275</v>
      </c>
      <c r="N266" t="str">
        <f t="shared" si="9"/>
        <v>September</v>
      </c>
    </row>
    <row r="267" spans="1:14" x14ac:dyDescent="0.3">
      <c r="A267" t="s">
        <v>349</v>
      </c>
      <c r="B267" s="1">
        <v>1518</v>
      </c>
      <c r="C267" s="1">
        <f t="shared" si="8"/>
        <v>1363</v>
      </c>
      <c r="D267">
        <v>155</v>
      </c>
      <c r="E267">
        <v>13</v>
      </c>
      <c r="F267" t="s">
        <v>32</v>
      </c>
      <c r="G267" t="s">
        <v>59</v>
      </c>
      <c r="H267" t="s">
        <v>49</v>
      </c>
      <c r="I267" s="2">
        <v>45187</v>
      </c>
      <c r="J267" t="s">
        <v>350</v>
      </c>
      <c r="K267" t="s">
        <v>100</v>
      </c>
      <c r="L267" t="s">
        <v>101</v>
      </c>
      <c r="M267" t="s">
        <v>275</v>
      </c>
      <c r="N267" t="str">
        <f t="shared" si="9"/>
        <v>September</v>
      </c>
    </row>
    <row r="268" spans="1:14" x14ac:dyDescent="0.3">
      <c r="A268" t="s">
        <v>351</v>
      </c>
      <c r="B268" s="1">
        <v>2962</v>
      </c>
      <c r="C268" s="1">
        <f t="shared" si="8"/>
        <v>1492</v>
      </c>
      <c r="D268">
        <v>1470</v>
      </c>
      <c r="E268">
        <v>1</v>
      </c>
      <c r="F268" t="s">
        <v>15</v>
      </c>
      <c r="G268" t="s">
        <v>84</v>
      </c>
      <c r="H268" t="s">
        <v>67</v>
      </c>
      <c r="I268" s="2">
        <v>44328</v>
      </c>
      <c r="J268" t="s">
        <v>352</v>
      </c>
      <c r="K268" t="s">
        <v>27</v>
      </c>
      <c r="L268" t="s">
        <v>28</v>
      </c>
      <c r="M268" t="s">
        <v>110</v>
      </c>
      <c r="N268" t="str">
        <f t="shared" si="9"/>
        <v>May</v>
      </c>
    </row>
    <row r="269" spans="1:14" x14ac:dyDescent="0.3">
      <c r="A269" t="s">
        <v>351</v>
      </c>
      <c r="B269" s="1">
        <v>2962</v>
      </c>
      <c r="C269" s="1">
        <f t="shared" si="8"/>
        <v>1492</v>
      </c>
      <c r="D269">
        <v>1470</v>
      </c>
      <c r="E269">
        <v>1</v>
      </c>
      <c r="F269" t="s">
        <v>15</v>
      </c>
      <c r="G269" t="s">
        <v>84</v>
      </c>
      <c r="H269" t="s">
        <v>67</v>
      </c>
      <c r="I269" s="2">
        <v>45186</v>
      </c>
      <c r="J269" t="s">
        <v>353</v>
      </c>
      <c r="K269" t="s">
        <v>19</v>
      </c>
      <c r="L269" t="s">
        <v>152</v>
      </c>
      <c r="M269" t="s">
        <v>275</v>
      </c>
      <c r="N269" t="str">
        <f t="shared" si="9"/>
        <v>September</v>
      </c>
    </row>
    <row r="270" spans="1:14" x14ac:dyDescent="0.3">
      <c r="A270" t="s">
        <v>351</v>
      </c>
      <c r="B270" s="1">
        <v>7131</v>
      </c>
      <c r="C270" s="1">
        <f t="shared" si="8"/>
        <v>6413</v>
      </c>
      <c r="D270">
        <v>718</v>
      </c>
      <c r="E270">
        <v>12</v>
      </c>
      <c r="F270" t="s">
        <v>15</v>
      </c>
      <c r="G270" t="s">
        <v>30</v>
      </c>
      <c r="H270" t="s">
        <v>17</v>
      </c>
      <c r="I270" s="2">
        <v>44328</v>
      </c>
      <c r="J270" t="s">
        <v>352</v>
      </c>
      <c r="K270" t="s">
        <v>27</v>
      </c>
      <c r="L270" t="s">
        <v>28</v>
      </c>
      <c r="M270" t="s">
        <v>110</v>
      </c>
      <c r="N270" t="str">
        <f t="shared" si="9"/>
        <v>May</v>
      </c>
    </row>
    <row r="271" spans="1:14" x14ac:dyDescent="0.3">
      <c r="A271" t="s">
        <v>351</v>
      </c>
      <c r="B271" s="1">
        <v>7131</v>
      </c>
      <c r="C271" s="1">
        <f t="shared" si="8"/>
        <v>6413</v>
      </c>
      <c r="D271">
        <v>718</v>
      </c>
      <c r="E271">
        <v>12</v>
      </c>
      <c r="F271" t="s">
        <v>15</v>
      </c>
      <c r="G271" t="s">
        <v>30</v>
      </c>
      <c r="H271" t="s">
        <v>17</v>
      </c>
      <c r="I271" s="2">
        <v>45186</v>
      </c>
      <c r="J271" t="s">
        <v>353</v>
      </c>
      <c r="K271" t="s">
        <v>19</v>
      </c>
      <c r="L271" t="s">
        <v>152</v>
      </c>
      <c r="M271" t="s">
        <v>275</v>
      </c>
      <c r="N271" t="str">
        <f t="shared" si="9"/>
        <v>September</v>
      </c>
    </row>
    <row r="272" spans="1:14" x14ac:dyDescent="0.3">
      <c r="A272" t="s">
        <v>351</v>
      </c>
      <c r="B272" s="1">
        <v>4200</v>
      </c>
      <c r="C272" s="1">
        <f t="shared" si="8"/>
        <v>3345</v>
      </c>
      <c r="D272">
        <v>855</v>
      </c>
      <c r="E272">
        <v>10</v>
      </c>
      <c r="F272" t="s">
        <v>32</v>
      </c>
      <c r="G272" t="s">
        <v>59</v>
      </c>
      <c r="H272" t="s">
        <v>42</v>
      </c>
      <c r="I272" s="2">
        <v>44328</v>
      </c>
      <c r="J272" t="s">
        <v>352</v>
      </c>
      <c r="K272" t="s">
        <v>27</v>
      </c>
      <c r="L272" t="s">
        <v>28</v>
      </c>
      <c r="M272" t="s">
        <v>110</v>
      </c>
      <c r="N272" t="str">
        <f t="shared" si="9"/>
        <v>May</v>
      </c>
    </row>
    <row r="273" spans="1:14" x14ac:dyDescent="0.3">
      <c r="A273" t="s">
        <v>351</v>
      </c>
      <c r="B273" s="1">
        <v>4200</v>
      </c>
      <c r="C273" s="1">
        <f t="shared" si="8"/>
        <v>3345</v>
      </c>
      <c r="D273">
        <v>855</v>
      </c>
      <c r="E273">
        <v>10</v>
      </c>
      <c r="F273" t="s">
        <v>32</v>
      </c>
      <c r="G273" t="s">
        <v>59</v>
      </c>
      <c r="H273" t="s">
        <v>42</v>
      </c>
      <c r="I273" s="2">
        <v>45186</v>
      </c>
      <c r="J273" t="s">
        <v>353</v>
      </c>
      <c r="K273" t="s">
        <v>19</v>
      </c>
      <c r="L273" t="s">
        <v>152</v>
      </c>
      <c r="M273" t="s">
        <v>275</v>
      </c>
      <c r="N273" t="str">
        <f t="shared" si="9"/>
        <v>September</v>
      </c>
    </row>
    <row r="274" spans="1:14" x14ac:dyDescent="0.3">
      <c r="A274" t="s">
        <v>354</v>
      </c>
      <c r="B274" s="1">
        <v>5934</v>
      </c>
      <c r="C274" s="1">
        <f t="shared" si="8"/>
        <v>4371</v>
      </c>
      <c r="D274">
        <v>1563</v>
      </c>
      <c r="E274">
        <v>2</v>
      </c>
      <c r="F274" t="s">
        <v>32</v>
      </c>
      <c r="G274" t="s">
        <v>59</v>
      </c>
      <c r="H274" t="s">
        <v>42</v>
      </c>
      <c r="I274" s="2">
        <v>45541</v>
      </c>
      <c r="J274" t="s">
        <v>355</v>
      </c>
      <c r="K274" t="s">
        <v>23</v>
      </c>
      <c r="L274" t="s">
        <v>174</v>
      </c>
      <c r="M274" t="s">
        <v>161</v>
      </c>
      <c r="N274" t="str">
        <f t="shared" si="9"/>
        <v>September</v>
      </c>
    </row>
    <row r="275" spans="1:14" x14ac:dyDescent="0.3">
      <c r="A275" t="s">
        <v>356</v>
      </c>
      <c r="B275" s="1">
        <v>2701</v>
      </c>
      <c r="C275" s="1">
        <f t="shared" si="8"/>
        <v>2379</v>
      </c>
      <c r="D275">
        <v>322</v>
      </c>
      <c r="E275">
        <v>11</v>
      </c>
      <c r="F275" t="s">
        <v>15</v>
      </c>
      <c r="G275" t="s">
        <v>30</v>
      </c>
      <c r="H275" t="s">
        <v>17</v>
      </c>
      <c r="I275" s="2">
        <v>44730</v>
      </c>
      <c r="J275" t="s">
        <v>357</v>
      </c>
      <c r="K275" t="s">
        <v>27</v>
      </c>
      <c r="L275" t="s">
        <v>53</v>
      </c>
      <c r="M275" t="s">
        <v>167</v>
      </c>
      <c r="N275" t="str">
        <f t="shared" si="9"/>
        <v>June</v>
      </c>
    </row>
    <row r="276" spans="1:14" x14ac:dyDescent="0.3">
      <c r="A276" t="s">
        <v>356</v>
      </c>
      <c r="B276" s="1">
        <v>7273</v>
      </c>
      <c r="C276" s="1">
        <f t="shared" si="8"/>
        <v>4571</v>
      </c>
      <c r="D276">
        <v>2702</v>
      </c>
      <c r="E276">
        <v>18</v>
      </c>
      <c r="F276" t="s">
        <v>32</v>
      </c>
      <c r="G276" t="s">
        <v>66</v>
      </c>
      <c r="H276" t="s">
        <v>67</v>
      </c>
      <c r="I276" s="2">
        <v>44730</v>
      </c>
      <c r="J276" t="s">
        <v>357</v>
      </c>
      <c r="K276" t="s">
        <v>27</v>
      </c>
      <c r="L276" t="s">
        <v>53</v>
      </c>
      <c r="M276" t="s">
        <v>167</v>
      </c>
      <c r="N276" t="str">
        <f t="shared" si="9"/>
        <v>June</v>
      </c>
    </row>
    <row r="277" spans="1:14" x14ac:dyDescent="0.3">
      <c r="A277" t="s">
        <v>358</v>
      </c>
      <c r="B277" s="1">
        <v>2465</v>
      </c>
      <c r="C277" s="1">
        <f t="shared" si="8"/>
        <v>1766</v>
      </c>
      <c r="D277">
        <v>699</v>
      </c>
      <c r="E277">
        <v>18</v>
      </c>
      <c r="F277" t="s">
        <v>32</v>
      </c>
      <c r="G277" t="s">
        <v>59</v>
      </c>
      <c r="H277" t="s">
        <v>34</v>
      </c>
      <c r="I277" s="2">
        <v>43973</v>
      </c>
      <c r="J277" t="s">
        <v>359</v>
      </c>
      <c r="K277" t="s">
        <v>44</v>
      </c>
      <c r="L277" t="s">
        <v>94</v>
      </c>
      <c r="M277" t="s">
        <v>61</v>
      </c>
      <c r="N277" t="str">
        <f t="shared" si="9"/>
        <v>May</v>
      </c>
    </row>
    <row r="278" spans="1:14" x14ac:dyDescent="0.3">
      <c r="A278" t="s">
        <v>360</v>
      </c>
      <c r="B278" s="1">
        <v>3479</v>
      </c>
      <c r="C278" s="1">
        <f t="shared" si="8"/>
        <v>2392</v>
      </c>
      <c r="D278">
        <v>1087</v>
      </c>
      <c r="E278">
        <v>2</v>
      </c>
      <c r="F278" t="s">
        <v>32</v>
      </c>
      <c r="G278" t="s">
        <v>59</v>
      </c>
      <c r="H278" t="s">
        <v>42</v>
      </c>
      <c r="I278" s="2">
        <v>45582</v>
      </c>
      <c r="J278" t="s">
        <v>361</v>
      </c>
      <c r="K278" t="s">
        <v>73</v>
      </c>
      <c r="L278" t="s">
        <v>74</v>
      </c>
      <c r="M278" t="s">
        <v>362</v>
      </c>
      <c r="N278" t="str">
        <f t="shared" si="9"/>
        <v>October</v>
      </c>
    </row>
    <row r="279" spans="1:14" x14ac:dyDescent="0.3">
      <c r="A279" t="s">
        <v>360</v>
      </c>
      <c r="B279" s="1">
        <v>5457</v>
      </c>
      <c r="C279" s="1">
        <f t="shared" si="8"/>
        <v>3692</v>
      </c>
      <c r="D279">
        <v>1765</v>
      </c>
      <c r="E279">
        <v>7</v>
      </c>
      <c r="F279" t="s">
        <v>15</v>
      </c>
      <c r="G279" t="s">
        <v>30</v>
      </c>
      <c r="H279" t="s">
        <v>42</v>
      </c>
      <c r="I279" s="2">
        <v>45582</v>
      </c>
      <c r="J279" t="s">
        <v>361</v>
      </c>
      <c r="K279" t="s">
        <v>73</v>
      </c>
      <c r="L279" t="s">
        <v>74</v>
      </c>
      <c r="M279" t="s">
        <v>362</v>
      </c>
      <c r="N279" t="str">
        <f t="shared" si="9"/>
        <v>October</v>
      </c>
    </row>
    <row r="280" spans="1:14" x14ac:dyDescent="0.3">
      <c r="A280" t="s">
        <v>363</v>
      </c>
      <c r="B280" s="1">
        <v>4957</v>
      </c>
      <c r="C280" s="1">
        <f t="shared" si="8"/>
        <v>3805</v>
      </c>
      <c r="D280">
        <v>1152</v>
      </c>
      <c r="E280">
        <v>8</v>
      </c>
      <c r="F280" t="s">
        <v>32</v>
      </c>
      <c r="G280" t="s">
        <v>59</v>
      </c>
      <c r="H280" t="s">
        <v>49</v>
      </c>
      <c r="I280" s="2">
        <v>44642</v>
      </c>
      <c r="J280" t="s">
        <v>364</v>
      </c>
      <c r="K280" t="s">
        <v>100</v>
      </c>
      <c r="L280" t="s">
        <v>119</v>
      </c>
      <c r="M280" t="s">
        <v>136</v>
      </c>
      <c r="N280" t="str">
        <f t="shared" si="9"/>
        <v>March</v>
      </c>
    </row>
    <row r="281" spans="1:14" x14ac:dyDescent="0.3">
      <c r="A281" t="s">
        <v>365</v>
      </c>
      <c r="B281" s="1">
        <v>4404</v>
      </c>
      <c r="C281" s="1">
        <f t="shared" si="8"/>
        <v>3546</v>
      </c>
      <c r="D281">
        <v>858</v>
      </c>
      <c r="E281">
        <v>17</v>
      </c>
      <c r="F281" t="s">
        <v>32</v>
      </c>
      <c r="G281" t="s">
        <v>33</v>
      </c>
      <c r="H281" t="s">
        <v>34</v>
      </c>
      <c r="I281" s="2">
        <v>45368</v>
      </c>
      <c r="J281" t="s">
        <v>366</v>
      </c>
      <c r="K281" t="s">
        <v>100</v>
      </c>
      <c r="L281" t="s">
        <v>101</v>
      </c>
      <c r="M281" t="s">
        <v>340</v>
      </c>
      <c r="N281" t="str">
        <f t="shared" si="9"/>
        <v>March</v>
      </c>
    </row>
    <row r="282" spans="1:14" x14ac:dyDescent="0.3">
      <c r="A282" t="s">
        <v>365</v>
      </c>
      <c r="B282" s="1">
        <v>8776</v>
      </c>
      <c r="C282" s="1">
        <f t="shared" si="8"/>
        <v>6247</v>
      </c>
      <c r="D282">
        <v>2529</v>
      </c>
      <c r="E282">
        <v>15</v>
      </c>
      <c r="F282" t="s">
        <v>47</v>
      </c>
      <c r="G282" t="s">
        <v>62</v>
      </c>
      <c r="H282" t="s">
        <v>49</v>
      </c>
      <c r="I282" s="2">
        <v>45368</v>
      </c>
      <c r="J282" t="s">
        <v>366</v>
      </c>
      <c r="K282" t="s">
        <v>100</v>
      </c>
      <c r="L282" t="s">
        <v>101</v>
      </c>
      <c r="M282" t="s">
        <v>340</v>
      </c>
      <c r="N282" t="str">
        <f t="shared" si="9"/>
        <v>March</v>
      </c>
    </row>
    <row r="283" spans="1:14" x14ac:dyDescent="0.3">
      <c r="A283" t="s">
        <v>367</v>
      </c>
      <c r="B283" s="1">
        <v>9536</v>
      </c>
      <c r="C283" s="1">
        <f t="shared" si="8"/>
        <v>8099</v>
      </c>
      <c r="D283">
        <v>1437</v>
      </c>
      <c r="E283">
        <v>9</v>
      </c>
      <c r="F283" t="s">
        <v>15</v>
      </c>
      <c r="G283" t="s">
        <v>84</v>
      </c>
      <c r="H283" t="s">
        <v>17</v>
      </c>
      <c r="I283" s="2">
        <v>43923</v>
      </c>
      <c r="J283" t="s">
        <v>368</v>
      </c>
      <c r="K283" t="s">
        <v>19</v>
      </c>
      <c r="L283" t="s">
        <v>36</v>
      </c>
      <c r="M283" t="s">
        <v>164</v>
      </c>
      <c r="N283" t="str">
        <f t="shared" si="9"/>
        <v>April</v>
      </c>
    </row>
    <row r="284" spans="1:14" x14ac:dyDescent="0.3">
      <c r="A284" t="s">
        <v>367</v>
      </c>
      <c r="B284" s="1">
        <v>2225</v>
      </c>
      <c r="C284" s="1">
        <f t="shared" si="8"/>
        <v>1636</v>
      </c>
      <c r="D284">
        <v>589</v>
      </c>
      <c r="E284">
        <v>7</v>
      </c>
      <c r="F284" t="s">
        <v>47</v>
      </c>
      <c r="G284" t="s">
        <v>62</v>
      </c>
      <c r="H284" t="s">
        <v>49</v>
      </c>
      <c r="I284" s="2">
        <v>43923</v>
      </c>
      <c r="J284" t="s">
        <v>368</v>
      </c>
      <c r="K284" t="s">
        <v>19</v>
      </c>
      <c r="L284" t="s">
        <v>36</v>
      </c>
      <c r="M284" t="s">
        <v>164</v>
      </c>
      <c r="N284" t="str">
        <f t="shared" si="9"/>
        <v>April</v>
      </c>
    </row>
    <row r="285" spans="1:14" x14ac:dyDescent="0.3">
      <c r="A285" t="s">
        <v>369</v>
      </c>
      <c r="B285" s="1">
        <v>9574</v>
      </c>
      <c r="C285" s="1">
        <f t="shared" si="8"/>
        <v>5529</v>
      </c>
      <c r="D285">
        <v>4045</v>
      </c>
      <c r="E285">
        <v>19</v>
      </c>
      <c r="F285" t="s">
        <v>47</v>
      </c>
      <c r="G285" t="s">
        <v>111</v>
      </c>
      <c r="H285" t="s">
        <v>17</v>
      </c>
      <c r="I285" s="2">
        <v>45364</v>
      </c>
      <c r="J285" t="s">
        <v>370</v>
      </c>
      <c r="K285" t="s">
        <v>44</v>
      </c>
      <c r="L285" t="s">
        <v>94</v>
      </c>
      <c r="M285" t="s">
        <v>340</v>
      </c>
      <c r="N285" t="str">
        <f t="shared" si="9"/>
        <v>March</v>
      </c>
    </row>
    <row r="286" spans="1:14" x14ac:dyDescent="0.3">
      <c r="A286" t="s">
        <v>369</v>
      </c>
      <c r="B286" s="1">
        <v>4382</v>
      </c>
      <c r="C286" s="1">
        <f t="shared" si="8"/>
        <v>3900</v>
      </c>
      <c r="D286">
        <v>482</v>
      </c>
      <c r="E286">
        <v>17</v>
      </c>
      <c r="F286" t="s">
        <v>15</v>
      </c>
      <c r="G286" t="s">
        <v>16</v>
      </c>
      <c r="H286" t="s">
        <v>67</v>
      </c>
      <c r="I286" s="2">
        <v>45364</v>
      </c>
      <c r="J286" t="s">
        <v>370</v>
      </c>
      <c r="K286" t="s">
        <v>44</v>
      </c>
      <c r="L286" t="s">
        <v>94</v>
      </c>
      <c r="M286" t="s">
        <v>340</v>
      </c>
      <c r="N286" t="str">
        <f t="shared" si="9"/>
        <v>March</v>
      </c>
    </row>
    <row r="287" spans="1:14" x14ac:dyDescent="0.3">
      <c r="A287" t="s">
        <v>371</v>
      </c>
      <c r="B287" s="1">
        <v>8200</v>
      </c>
      <c r="C287" s="1">
        <f t="shared" si="8"/>
        <v>7943</v>
      </c>
      <c r="D287">
        <v>257</v>
      </c>
      <c r="E287">
        <v>19</v>
      </c>
      <c r="F287" t="s">
        <v>15</v>
      </c>
      <c r="G287" t="s">
        <v>41</v>
      </c>
      <c r="H287" t="s">
        <v>67</v>
      </c>
      <c r="I287" s="2">
        <v>45006</v>
      </c>
      <c r="J287" t="s">
        <v>372</v>
      </c>
      <c r="K287" t="s">
        <v>100</v>
      </c>
      <c r="L287" t="s">
        <v>109</v>
      </c>
      <c r="M287" t="s">
        <v>247</v>
      </c>
      <c r="N287" t="str">
        <f t="shared" si="9"/>
        <v>March</v>
      </c>
    </row>
    <row r="288" spans="1:14" x14ac:dyDescent="0.3">
      <c r="A288" t="s">
        <v>371</v>
      </c>
      <c r="B288" s="1">
        <v>9316</v>
      </c>
      <c r="C288" s="1">
        <f t="shared" si="8"/>
        <v>6313</v>
      </c>
      <c r="D288">
        <v>3003</v>
      </c>
      <c r="E288">
        <v>13</v>
      </c>
      <c r="F288" t="s">
        <v>47</v>
      </c>
      <c r="G288" t="s">
        <v>62</v>
      </c>
      <c r="H288" t="s">
        <v>49</v>
      </c>
      <c r="I288" s="2">
        <v>45006</v>
      </c>
      <c r="J288" t="s">
        <v>372</v>
      </c>
      <c r="K288" t="s">
        <v>100</v>
      </c>
      <c r="L288" t="s">
        <v>109</v>
      </c>
      <c r="M288" t="s">
        <v>247</v>
      </c>
      <c r="N288" t="str">
        <f t="shared" si="9"/>
        <v>March</v>
      </c>
    </row>
    <row r="289" spans="1:14" x14ac:dyDescent="0.3">
      <c r="A289" t="s">
        <v>371</v>
      </c>
      <c r="B289" s="1">
        <v>6379</v>
      </c>
      <c r="C289" s="1">
        <f t="shared" si="8"/>
        <v>3251</v>
      </c>
      <c r="D289">
        <v>3128</v>
      </c>
      <c r="E289">
        <v>15</v>
      </c>
      <c r="F289" t="s">
        <v>15</v>
      </c>
      <c r="G289" t="s">
        <v>16</v>
      </c>
      <c r="H289" t="s">
        <v>67</v>
      </c>
      <c r="I289" s="2">
        <v>45006</v>
      </c>
      <c r="J289" t="s">
        <v>372</v>
      </c>
      <c r="K289" t="s">
        <v>100</v>
      </c>
      <c r="L289" t="s">
        <v>109</v>
      </c>
      <c r="M289" t="s">
        <v>247</v>
      </c>
      <c r="N289" t="str">
        <f t="shared" si="9"/>
        <v>March</v>
      </c>
    </row>
    <row r="290" spans="1:14" x14ac:dyDescent="0.3">
      <c r="A290" t="s">
        <v>373</v>
      </c>
      <c r="B290" s="1">
        <v>3348</v>
      </c>
      <c r="C290" s="1">
        <f t="shared" si="8"/>
        <v>2780</v>
      </c>
      <c r="D290">
        <v>568</v>
      </c>
      <c r="E290">
        <v>5</v>
      </c>
      <c r="F290" t="s">
        <v>32</v>
      </c>
      <c r="G290" t="s">
        <v>59</v>
      </c>
      <c r="H290" t="s">
        <v>49</v>
      </c>
      <c r="I290" s="2">
        <v>45353</v>
      </c>
      <c r="J290" t="s">
        <v>374</v>
      </c>
      <c r="K290" t="s">
        <v>100</v>
      </c>
      <c r="L290" t="s">
        <v>119</v>
      </c>
      <c r="M290" t="s">
        <v>340</v>
      </c>
      <c r="N290" t="str">
        <f t="shared" si="9"/>
        <v>March</v>
      </c>
    </row>
    <row r="291" spans="1:14" x14ac:dyDescent="0.3">
      <c r="A291" t="s">
        <v>373</v>
      </c>
      <c r="B291" s="1">
        <v>3348</v>
      </c>
      <c r="C291" s="1">
        <f t="shared" si="8"/>
        <v>2780</v>
      </c>
      <c r="D291">
        <v>568</v>
      </c>
      <c r="E291">
        <v>5</v>
      </c>
      <c r="F291" t="s">
        <v>32</v>
      </c>
      <c r="G291" t="s">
        <v>59</v>
      </c>
      <c r="H291" t="s">
        <v>49</v>
      </c>
      <c r="I291" s="2">
        <v>44316</v>
      </c>
      <c r="J291" t="s">
        <v>375</v>
      </c>
      <c r="K291" t="s">
        <v>27</v>
      </c>
      <c r="L291" t="s">
        <v>70</v>
      </c>
      <c r="M291" t="s">
        <v>141</v>
      </c>
      <c r="N291" t="str">
        <f t="shared" si="9"/>
        <v>April</v>
      </c>
    </row>
    <row r="292" spans="1:14" x14ac:dyDescent="0.3">
      <c r="A292" t="s">
        <v>373</v>
      </c>
      <c r="B292" s="1">
        <v>8856</v>
      </c>
      <c r="C292" s="1">
        <f t="shared" si="8"/>
        <v>6836</v>
      </c>
      <c r="D292">
        <v>2020</v>
      </c>
      <c r="E292">
        <v>9</v>
      </c>
      <c r="F292" t="s">
        <v>32</v>
      </c>
      <c r="G292" t="s">
        <v>33</v>
      </c>
      <c r="H292" t="s">
        <v>34</v>
      </c>
      <c r="I292" s="2">
        <v>45353</v>
      </c>
      <c r="J292" t="s">
        <v>374</v>
      </c>
      <c r="K292" t="s">
        <v>100</v>
      </c>
      <c r="L292" t="s">
        <v>119</v>
      </c>
      <c r="M292" t="s">
        <v>340</v>
      </c>
      <c r="N292" t="str">
        <f t="shared" si="9"/>
        <v>March</v>
      </c>
    </row>
    <row r="293" spans="1:14" x14ac:dyDescent="0.3">
      <c r="A293" t="s">
        <v>373</v>
      </c>
      <c r="B293" s="1">
        <v>8856</v>
      </c>
      <c r="C293" s="1">
        <f t="shared" si="8"/>
        <v>6836</v>
      </c>
      <c r="D293">
        <v>2020</v>
      </c>
      <c r="E293">
        <v>9</v>
      </c>
      <c r="F293" t="s">
        <v>32</v>
      </c>
      <c r="G293" t="s">
        <v>33</v>
      </c>
      <c r="H293" t="s">
        <v>34</v>
      </c>
      <c r="I293" s="2">
        <v>44316</v>
      </c>
      <c r="J293" t="s">
        <v>375</v>
      </c>
      <c r="K293" t="s">
        <v>27</v>
      </c>
      <c r="L293" t="s">
        <v>70</v>
      </c>
      <c r="M293" t="s">
        <v>141</v>
      </c>
      <c r="N293" t="str">
        <f t="shared" si="9"/>
        <v>April</v>
      </c>
    </row>
    <row r="294" spans="1:14" x14ac:dyDescent="0.3">
      <c r="A294" t="s">
        <v>376</v>
      </c>
      <c r="B294" s="1">
        <v>1760</v>
      </c>
      <c r="C294" s="1">
        <f t="shared" si="8"/>
        <v>1141</v>
      </c>
      <c r="D294">
        <v>619</v>
      </c>
      <c r="E294">
        <v>16</v>
      </c>
      <c r="F294" t="s">
        <v>47</v>
      </c>
      <c r="G294" t="s">
        <v>62</v>
      </c>
      <c r="H294" t="s">
        <v>34</v>
      </c>
      <c r="I294" s="2">
        <v>44454</v>
      </c>
      <c r="J294" t="s">
        <v>377</v>
      </c>
      <c r="K294" t="s">
        <v>100</v>
      </c>
      <c r="L294" t="s">
        <v>101</v>
      </c>
      <c r="M294" t="s">
        <v>226</v>
      </c>
      <c r="N294" t="str">
        <f t="shared" si="9"/>
        <v>September</v>
      </c>
    </row>
    <row r="295" spans="1:14" x14ac:dyDescent="0.3">
      <c r="A295" t="s">
        <v>376</v>
      </c>
      <c r="B295" s="1">
        <v>1760</v>
      </c>
      <c r="C295" s="1">
        <f t="shared" si="8"/>
        <v>1141</v>
      </c>
      <c r="D295">
        <v>619</v>
      </c>
      <c r="E295">
        <v>16</v>
      </c>
      <c r="F295" t="s">
        <v>47</v>
      </c>
      <c r="G295" t="s">
        <v>62</v>
      </c>
      <c r="H295" t="s">
        <v>34</v>
      </c>
      <c r="I295" s="2">
        <v>44954</v>
      </c>
      <c r="J295" t="s">
        <v>378</v>
      </c>
      <c r="K295" t="s">
        <v>73</v>
      </c>
      <c r="L295" t="s">
        <v>140</v>
      </c>
      <c r="M295" t="s">
        <v>335</v>
      </c>
      <c r="N295" t="str">
        <f t="shared" si="9"/>
        <v>January</v>
      </c>
    </row>
    <row r="296" spans="1:14" x14ac:dyDescent="0.3">
      <c r="A296" t="s">
        <v>376</v>
      </c>
      <c r="B296" s="1">
        <v>6351</v>
      </c>
      <c r="C296" s="1">
        <f t="shared" si="8"/>
        <v>5365</v>
      </c>
      <c r="D296">
        <v>986</v>
      </c>
      <c r="E296">
        <v>15</v>
      </c>
      <c r="F296" t="s">
        <v>15</v>
      </c>
      <c r="G296" t="s">
        <v>30</v>
      </c>
      <c r="H296" t="s">
        <v>17</v>
      </c>
      <c r="I296" s="2">
        <v>44454</v>
      </c>
      <c r="J296" t="s">
        <v>377</v>
      </c>
      <c r="K296" t="s">
        <v>100</v>
      </c>
      <c r="L296" t="s">
        <v>101</v>
      </c>
      <c r="M296" t="s">
        <v>226</v>
      </c>
      <c r="N296" t="str">
        <f t="shared" si="9"/>
        <v>September</v>
      </c>
    </row>
    <row r="297" spans="1:14" x14ac:dyDescent="0.3">
      <c r="A297" t="s">
        <v>376</v>
      </c>
      <c r="B297" s="1">
        <v>6351</v>
      </c>
      <c r="C297" s="1">
        <f t="shared" si="8"/>
        <v>5365</v>
      </c>
      <c r="D297">
        <v>986</v>
      </c>
      <c r="E297">
        <v>15</v>
      </c>
      <c r="F297" t="s">
        <v>15</v>
      </c>
      <c r="G297" t="s">
        <v>30</v>
      </c>
      <c r="H297" t="s">
        <v>17</v>
      </c>
      <c r="I297" s="2">
        <v>44954</v>
      </c>
      <c r="J297" t="s">
        <v>378</v>
      </c>
      <c r="K297" t="s">
        <v>73</v>
      </c>
      <c r="L297" t="s">
        <v>140</v>
      </c>
      <c r="M297" t="s">
        <v>335</v>
      </c>
      <c r="N297" t="str">
        <f t="shared" si="9"/>
        <v>January</v>
      </c>
    </row>
    <row r="298" spans="1:14" x14ac:dyDescent="0.3">
      <c r="A298" t="s">
        <v>379</v>
      </c>
      <c r="B298" s="1">
        <v>869</v>
      </c>
      <c r="C298" s="1">
        <f t="shared" si="8"/>
        <v>496</v>
      </c>
      <c r="D298">
        <v>373</v>
      </c>
      <c r="E298">
        <v>14</v>
      </c>
      <c r="F298" t="s">
        <v>32</v>
      </c>
      <c r="G298" t="s">
        <v>66</v>
      </c>
      <c r="H298" t="s">
        <v>49</v>
      </c>
      <c r="I298" s="2">
        <v>44385</v>
      </c>
      <c r="J298" t="s">
        <v>380</v>
      </c>
      <c r="K298" t="s">
        <v>27</v>
      </c>
      <c r="L298" t="s">
        <v>53</v>
      </c>
      <c r="M298" t="s">
        <v>29</v>
      </c>
      <c r="N298" t="str">
        <f t="shared" si="9"/>
        <v>July</v>
      </c>
    </row>
    <row r="299" spans="1:14" x14ac:dyDescent="0.3">
      <c r="A299" t="s">
        <v>379</v>
      </c>
      <c r="B299" s="1">
        <v>869</v>
      </c>
      <c r="C299" s="1">
        <f t="shared" si="8"/>
        <v>496</v>
      </c>
      <c r="D299">
        <v>373</v>
      </c>
      <c r="E299">
        <v>14</v>
      </c>
      <c r="F299" t="s">
        <v>32</v>
      </c>
      <c r="G299" t="s">
        <v>66</v>
      </c>
      <c r="H299" t="s">
        <v>49</v>
      </c>
      <c r="I299" s="2">
        <v>43929</v>
      </c>
      <c r="J299" t="s">
        <v>381</v>
      </c>
      <c r="K299" t="s">
        <v>100</v>
      </c>
      <c r="L299" t="s">
        <v>119</v>
      </c>
      <c r="M299" t="s">
        <v>164</v>
      </c>
      <c r="N299" t="str">
        <f t="shared" si="9"/>
        <v>April</v>
      </c>
    </row>
    <row r="300" spans="1:14" x14ac:dyDescent="0.3">
      <c r="A300" t="s">
        <v>379</v>
      </c>
      <c r="B300" s="1">
        <v>1486</v>
      </c>
      <c r="C300" s="1">
        <f t="shared" si="8"/>
        <v>1372</v>
      </c>
      <c r="D300">
        <v>114</v>
      </c>
      <c r="E300">
        <v>7</v>
      </c>
      <c r="F300" t="s">
        <v>47</v>
      </c>
      <c r="G300" t="s">
        <v>111</v>
      </c>
      <c r="H300" t="s">
        <v>17</v>
      </c>
      <c r="I300" s="2">
        <v>44385</v>
      </c>
      <c r="J300" t="s">
        <v>380</v>
      </c>
      <c r="K300" t="s">
        <v>27</v>
      </c>
      <c r="L300" t="s">
        <v>53</v>
      </c>
      <c r="M300" t="s">
        <v>29</v>
      </c>
      <c r="N300" t="str">
        <f t="shared" si="9"/>
        <v>July</v>
      </c>
    </row>
    <row r="301" spans="1:14" x14ac:dyDescent="0.3">
      <c r="A301" t="s">
        <v>379</v>
      </c>
      <c r="B301" s="1">
        <v>1486</v>
      </c>
      <c r="C301" s="1">
        <f t="shared" si="8"/>
        <v>1372</v>
      </c>
      <c r="D301">
        <v>114</v>
      </c>
      <c r="E301">
        <v>7</v>
      </c>
      <c r="F301" t="s">
        <v>47</v>
      </c>
      <c r="G301" t="s">
        <v>111</v>
      </c>
      <c r="H301" t="s">
        <v>17</v>
      </c>
      <c r="I301" s="2">
        <v>43929</v>
      </c>
      <c r="J301" t="s">
        <v>381</v>
      </c>
      <c r="K301" t="s">
        <v>100</v>
      </c>
      <c r="L301" t="s">
        <v>119</v>
      </c>
      <c r="M301" t="s">
        <v>164</v>
      </c>
      <c r="N301" t="str">
        <f t="shared" si="9"/>
        <v>April</v>
      </c>
    </row>
    <row r="302" spans="1:14" x14ac:dyDescent="0.3">
      <c r="A302" t="s">
        <v>382</v>
      </c>
      <c r="B302" s="1">
        <v>2999</v>
      </c>
      <c r="C302" s="1">
        <f t="shared" si="8"/>
        <v>2854</v>
      </c>
      <c r="D302">
        <v>145</v>
      </c>
      <c r="E302">
        <v>13</v>
      </c>
      <c r="F302" t="s">
        <v>32</v>
      </c>
      <c r="G302" t="s">
        <v>80</v>
      </c>
      <c r="H302" t="s">
        <v>67</v>
      </c>
      <c r="I302" s="2">
        <v>44796</v>
      </c>
      <c r="J302" t="s">
        <v>383</v>
      </c>
      <c r="K302" t="s">
        <v>23</v>
      </c>
      <c r="L302" t="s">
        <v>24</v>
      </c>
      <c r="M302" t="s">
        <v>211</v>
      </c>
      <c r="N302" t="str">
        <f t="shared" si="9"/>
        <v>August</v>
      </c>
    </row>
    <row r="303" spans="1:14" x14ac:dyDescent="0.3">
      <c r="A303" t="s">
        <v>382</v>
      </c>
      <c r="B303" s="1">
        <v>5142</v>
      </c>
      <c r="C303" s="1">
        <f t="shared" si="8"/>
        <v>3226</v>
      </c>
      <c r="D303">
        <v>1916</v>
      </c>
      <c r="E303">
        <v>20</v>
      </c>
      <c r="F303" t="s">
        <v>32</v>
      </c>
      <c r="G303" t="s">
        <v>66</v>
      </c>
      <c r="H303" t="s">
        <v>42</v>
      </c>
      <c r="I303" s="2">
        <v>44796</v>
      </c>
      <c r="J303" t="s">
        <v>383</v>
      </c>
      <c r="K303" t="s">
        <v>23</v>
      </c>
      <c r="L303" t="s">
        <v>24</v>
      </c>
      <c r="M303" t="s">
        <v>211</v>
      </c>
      <c r="N303" t="str">
        <f t="shared" si="9"/>
        <v>August</v>
      </c>
    </row>
    <row r="304" spans="1:14" x14ac:dyDescent="0.3">
      <c r="A304" t="s">
        <v>384</v>
      </c>
      <c r="B304" s="1">
        <v>1239</v>
      </c>
      <c r="C304" s="1">
        <f t="shared" si="8"/>
        <v>664</v>
      </c>
      <c r="D304">
        <v>575</v>
      </c>
      <c r="E304">
        <v>17</v>
      </c>
      <c r="F304" t="s">
        <v>15</v>
      </c>
      <c r="G304" t="s">
        <v>41</v>
      </c>
      <c r="H304" t="s">
        <v>17</v>
      </c>
      <c r="I304" s="2">
        <v>44912</v>
      </c>
      <c r="J304" t="s">
        <v>385</v>
      </c>
      <c r="K304" t="s">
        <v>27</v>
      </c>
      <c r="L304" t="s">
        <v>70</v>
      </c>
      <c r="M304" t="s">
        <v>154</v>
      </c>
      <c r="N304" t="str">
        <f t="shared" si="9"/>
        <v>December</v>
      </c>
    </row>
    <row r="305" spans="1:14" x14ac:dyDescent="0.3">
      <c r="A305" t="s">
        <v>384</v>
      </c>
      <c r="B305" s="1">
        <v>1239</v>
      </c>
      <c r="C305" s="1">
        <f t="shared" si="8"/>
        <v>664</v>
      </c>
      <c r="D305">
        <v>575</v>
      </c>
      <c r="E305">
        <v>17</v>
      </c>
      <c r="F305" t="s">
        <v>15</v>
      </c>
      <c r="G305" t="s">
        <v>41</v>
      </c>
      <c r="H305" t="s">
        <v>17</v>
      </c>
      <c r="I305" s="2">
        <v>44720</v>
      </c>
      <c r="J305" t="s">
        <v>386</v>
      </c>
      <c r="K305" t="s">
        <v>23</v>
      </c>
      <c r="L305" t="s">
        <v>65</v>
      </c>
      <c r="M305" t="s">
        <v>167</v>
      </c>
      <c r="N305" t="str">
        <f t="shared" si="9"/>
        <v>June</v>
      </c>
    </row>
    <row r="306" spans="1:14" x14ac:dyDescent="0.3">
      <c r="A306" t="s">
        <v>384</v>
      </c>
      <c r="B306" s="1">
        <v>1262</v>
      </c>
      <c r="C306" s="1">
        <f t="shared" si="8"/>
        <v>747</v>
      </c>
      <c r="D306">
        <v>515</v>
      </c>
      <c r="E306">
        <v>16</v>
      </c>
      <c r="F306" t="s">
        <v>15</v>
      </c>
      <c r="G306" t="s">
        <v>16</v>
      </c>
      <c r="H306" t="s">
        <v>42</v>
      </c>
      <c r="I306" s="2">
        <v>44912</v>
      </c>
      <c r="J306" t="s">
        <v>385</v>
      </c>
      <c r="K306" t="s">
        <v>27</v>
      </c>
      <c r="L306" t="s">
        <v>70</v>
      </c>
      <c r="M306" t="s">
        <v>154</v>
      </c>
      <c r="N306" t="str">
        <f t="shared" si="9"/>
        <v>December</v>
      </c>
    </row>
    <row r="307" spans="1:14" x14ac:dyDescent="0.3">
      <c r="A307" t="s">
        <v>384</v>
      </c>
      <c r="B307" s="1">
        <v>1262</v>
      </c>
      <c r="C307" s="1">
        <f t="shared" si="8"/>
        <v>747</v>
      </c>
      <c r="D307">
        <v>515</v>
      </c>
      <c r="E307">
        <v>16</v>
      </c>
      <c r="F307" t="s">
        <v>15</v>
      </c>
      <c r="G307" t="s">
        <v>16</v>
      </c>
      <c r="H307" t="s">
        <v>42</v>
      </c>
      <c r="I307" s="2">
        <v>44720</v>
      </c>
      <c r="J307" t="s">
        <v>386</v>
      </c>
      <c r="K307" t="s">
        <v>23</v>
      </c>
      <c r="L307" t="s">
        <v>65</v>
      </c>
      <c r="M307" t="s">
        <v>167</v>
      </c>
      <c r="N307" t="str">
        <f t="shared" si="9"/>
        <v>June</v>
      </c>
    </row>
    <row r="308" spans="1:14" x14ac:dyDescent="0.3">
      <c r="A308" t="s">
        <v>387</v>
      </c>
      <c r="B308" s="1">
        <v>1033</v>
      </c>
      <c r="C308" s="1">
        <f t="shared" si="8"/>
        <v>779</v>
      </c>
      <c r="D308">
        <v>254</v>
      </c>
      <c r="E308">
        <v>5</v>
      </c>
      <c r="F308" t="s">
        <v>47</v>
      </c>
      <c r="G308" t="s">
        <v>111</v>
      </c>
      <c r="H308" t="s">
        <v>67</v>
      </c>
      <c r="I308" s="2">
        <v>44071</v>
      </c>
      <c r="J308" t="s">
        <v>388</v>
      </c>
      <c r="K308" t="s">
        <v>27</v>
      </c>
      <c r="L308" t="s">
        <v>70</v>
      </c>
      <c r="M308" t="s">
        <v>187</v>
      </c>
      <c r="N308" t="str">
        <f t="shared" si="9"/>
        <v>August</v>
      </c>
    </row>
    <row r="309" spans="1:14" x14ac:dyDescent="0.3">
      <c r="A309" t="s">
        <v>389</v>
      </c>
      <c r="B309" s="1">
        <v>1518</v>
      </c>
      <c r="C309" s="1">
        <f t="shared" si="8"/>
        <v>1359</v>
      </c>
      <c r="D309">
        <v>159</v>
      </c>
      <c r="E309">
        <v>19</v>
      </c>
      <c r="F309" t="s">
        <v>15</v>
      </c>
      <c r="G309" t="s">
        <v>30</v>
      </c>
      <c r="H309" t="s">
        <v>17</v>
      </c>
      <c r="I309" s="2">
        <v>44100</v>
      </c>
      <c r="J309" t="s">
        <v>390</v>
      </c>
      <c r="K309" t="s">
        <v>44</v>
      </c>
      <c r="L309" t="s">
        <v>77</v>
      </c>
      <c r="M309" t="s">
        <v>391</v>
      </c>
      <c r="N309" t="str">
        <f t="shared" si="9"/>
        <v>September</v>
      </c>
    </row>
    <row r="310" spans="1:14" x14ac:dyDescent="0.3">
      <c r="A310" t="s">
        <v>392</v>
      </c>
      <c r="B310" s="1">
        <v>8581</v>
      </c>
      <c r="C310" s="1">
        <f t="shared" si="8"/>
        <v>6137</v>
      </c>
      <c r="D310">
        <v>2444</v>
      </c>
      <c r="E310">
        <v>2</v>
      </c>
      <c r="F310" t="s">
        <v>32</v>
      </c>
      <c r="G310" t="s">
        <v>66</v>
      </c>
      <c r="H310" t="s">
        <v>34</v>
      </c>
      <c r="I310" s="2">
        <v>44178</v>
      </c>
      <c r="J310" t="s">
        <v>393</v>
      </c>
      <c r="K310" t="s">
        <v>23</v>
      </c>
      <c r="L310" t="s">
        <v>174</v>
      </c>
      <c r="M310" t="s">
        <v>289</v>
      </c>
      <c r="N310" t="str">
        <f t="shared" si="9"/>
        <v>December</v>
      </c>
    </row>
    <row r="311" spans="1:14" x14ac:dyDescent="0.3">
      <c r="A311" t="s">
        <v>392</v>
      </c>
      <c r="B311" s="1">
        <v>8581</v>
      </c>
      <c r="C311" s="1">
        <f t="shared" si="8"/>
        <v>6137</v>
      </c>
      <c r="D311">
        <v>2444</v>
      </c>
      <c r="E311">
        <v>2</v>
      </c>
      <c r="F311" t="s">
        <v>32</v>
      </c>
      <c r="G311" t="s">
        <v>66</v>
      </c>
      <c r="H311" t="s">
        <v>34</v>
      </c>
      <c r="I311" s="2">
        <v>44154</v>
      </c>
      <c r="J311" t="s">
        <v>394</v>
      </c>
      <c r="K311" t="s">
        <v>19</v>
      </c>
      <c r="L311" t="s">
        <v>36</v>
      </c>
      <c r="M311" t="s">
        <v>82</v>
      </c>
      <c r="N311" t="str">
        <f t="shared" si="9"/>
        <v>November</v>
      </c>
    </row>
    <row r="312" spans="1:14" x14ac:dyDescent="0.3">
      <c r="A312" t="s">
        <v>395</v>
      </c>
      <c r="B312" s="1">
        <v>1167</v>
      </c>
      <c r="C312" s="1">
        <f t="shared" si="8"/>
        <v>704</v>
      </c>
      <c r="D312">
        <v>463</v>
      </c>
      <c r="E312">
        <v>5</v>
      </c>
      <c r="F312" t="s">
        <v>32</v>
      </c>
      <c r="G312" t="s">
        <v>33</v>
      </c>
      <c r="H312" t="s">
        <v>17</v>
      </c>
      <c r="I312" s="2">
        <v>45182</v>
      </c>
      <c r="J312" t="s">
        <v>396</v>
      </c>
      <c r="K312" t="s">
        <v>73</v>
      </c>
      <c r="L312" t="s">
        <v>88</v>
      </c>
      <c r="M312" t="s">
        <v>275</v>
      </c>
      <c r="N312" t="str">
        <f t="shared" si="9"/>
        <v>September</v>
      </c>
    </row>
    <row r="313" spans="1:14" x14ac:dyDescent="0.3">
      <c r="A313" t="s">
        <v>395</v>
      </c>
      <c r="B313" s="1">
        <v>2841</v>
      </c>
      <c r="C313" s="1">
        <f t="shared" si="8"/>
        <v>2038</v>
      </c>
      <c r="D313">
        <v>803</v>
      </c>
      <c r="E313">
        <v>20</v>
      </c>
      <c r="F313" t="s">
        <v>15</v>
      </c>
      <c r="G313" t="s">
        <v>41</v>
      </c>
      <c r="H313" t="s">
        <v>49</v>
      </c>
      <c r="I313" s="2">
        <v>45182</v>
      </c>
      <c r="J313" t="s">
        <v>396</v>
      </c>
      <c r="K313" t="s">
        <v>73</v>
      </c>
      <c r="L313" t="s">
        <v>88</v>
      </c>
      <c r="M313" t="s">
        <v>275</v>
      </c>
      <c r="N313" t="str">
        <f t="shared" si="9"/>
        <v>September</v>
      </c>
    </row>
    <row r="314" spans="1:14" x14ac:dyDescent="0.3">
      <c r="A314" t="s">
        <v>395</v>
      </c>
      <c r="B314" s="1">
        <v>5680</v>
      </c>
      <c r="C314" s="1">
        <f t="shared" si="8"/>
        <v>3521</v>
      </c>
      <c r="D314">
        <v>2159</v>
      </c>
      <c r="E314">
        <v>19</v>
      </c>
      <c r="F314" t="s">
        <v>47</v>
      </c>
      <c r="G314" t="s">
        <v>48</v>
      </c>
      <c r="H314" t="s">
        <v>17</v>
      </c>
      <c r="I314" s="2">
        <v>45182</v>
      </c>
      <c r="J314" t="s">
        <v>396</v>
      </c>
      <c r="K314" t="s">
        <v>73</v>
      </c>
      <c r="L314" t="s">
        <v>88</v>
      </c>
      <c r="M314" t="s">
        <v>275</v>
      </c>
      <c r="N314" t="str">
        <f t="shared" si="9"/>
        <v>September</v>
      </c>
    </row>
    <row r="315" spans="1:14" x14ac:dyDescent="0.3">
      <c r="A315" t="s">
        <v>397</v>
      </c>
      <c r="B315" s="1">
        <v>8204</v>
      </c>
      <c r="C315" s="1">
        <f t="shared" si="8"/>
        <v>5822</v>
      </c>
      <c r="D315">
        <v>2382</v>
      </c>
      <c r="E315">
        <v>6</v>
      </c>
      <c r="F315" t="s">
        <v>32</v>
      </c>
      <c r="G315" t="s">
        <v>33</v>
      </c>
      <c r="H315" t="s">
        <v>17</v>
      </c>
      <c r="I315" s="2">
        <v>43921</v>
      </c>
      <c r="J315" t="s">
        <v>398</v>
      </c>
      <c r="K315" t="s">
        <v>23</v>
      </c>
      <c r="L315" t="s">
        <v>24</v>
      </c>
      <c r="M315" t="s">
        <v>57</v>
      </c>
      <c r="N315" t="str">
        <f t="shared" si="9"/>
        <v>March</v>
      </c>
    </row>
    <row r="316" spans="1:14" x14ac:dyDescent="0.3">
      <c r="A316" t="s">
        <v>397</v>
      </c>
      <c r="B316" s="1">
        <v>8204</v>
      </c>
      <c r="C316" s="1">
        <f t="shared" si="8"/>
        <v>5822</v>
      </c>
      <c r="D316">
        <v>2382</v>
      </c>
      <c r="E316">
        <v>6</v>
      </c>
      <c r="F316" t="s">
        <v>32</v>
      </c>
      <c r="G316" t="s">
        <v>33</v>
      </c>
      <c r="H316" t="s">
        <v>17</v>
      </c>
      <c r="I316" s="2">
        <v>44124</v>
      </c>
      <c r="J316" t="s">
        <v>399</v>
      </c>
      <c r="K316" t="s">
        <v>27</v>
      </c>
      <c r="L316" t="s">
        <v>28</v>
      </c>
      <c r="M316" t="s">
        <v>121</v>
      </c>
      <c r="N316" t="str">
        <f t="shared" si="9"/>
        <v>October</v>
      </c>
    </row>
    <row r="317" spans="1:14" x14ac:dyDescent="0.3">
      <c r="A317" t="s">
        <v>397</v>
      </c>
      <c r="B317" s="1">
        <v>2850</v>
      </c>
      <c r="C317" s="1">
        <f t="shared" si="8"/>
        <v>1946</v>
      </c>
      <c r="D317">
        <v>904</v>
      </c>
      <c r="E317">
        <v>6</v>
      </c>
      <c r="F317" t="s">
        <v>15</v>
      </c>
      <c r="G317" t="s">
        <v>84</v>
      </c>
      <c r="H317" t="s">
        <v>42</v>
      </c>
      <c r="I317" s="2">
        <v>43921</v>
      </c>
      <c r="J317" t="s">
        <v>398</v>
      </c>
      <c r="K317" t="s">
        <v>23</v>
      </c>
      <c r="L317" t="s">
        <v>24</v>
      </c>
      <c r="M317" t="s">
        <v>57</v>
      </c>
      <c r="N317" t="str">
        <f t="shared" si="9"/>
        <v>March</v>
      </c>
    </row>
    <row r="318" spans="1:14" x14ac:dyDescent="0.3">
      <c r="A318" t="s">
        <v>397</v>
      </c>
      <c r="B318" s="1">
        <v>2850</v>
      </c>
      <c r="C318" s="1">
        <f t="shared" si="8"/>
        <v>1946</v>
      </c>
      <c r="D318">
        <v>904</v>
      </c>
      <c r="E318">
        <v>6</v>
      </c>
      <c r="F318" t="s">
        <v>15</v>
      </c>
      <c r="G318" t="s">
        <v>84</v>
      </c>
      <c r="H318" t="s">
        <v>42</v>
      </c>
      <c r="I318" s="2">
        <v>44124</v>
      </c>
      <c r="J318" t="s">
        <v>399</v>
      </c>
      <c r="K318" t="s">
        <v>27</v>
      </c>
      <c r="L318" t="s">
        <v>28</v>
      </c>
      <c r="M318" t="s">
        <v>121</v>
      </c>
      <c r="N318" t="str">
        <f t="shared" si="9"/>
        <v>October</v>
      </c>
    </row>
    <row r="319" spans="1:14" x14ac:dyDescent="0.3">
      <c r="A319" t="s">
        <v>400</v>
      </c>
      <c r="B319" s="1">
        <v>907</v>
      </c>
      <c r="C319" s="1">
        <f t="shared" si="8"/>
        <v>516</v>
      </c>
      <c r="D319">
        <v>391</v>
      </c>
      <c r="E319">
        <v>9</v>
      </c>
      <c r="F319" t="s">
        <v>32</v>
      </c>
      <c r="G319" t="s">
        <v>33</v>
      </c>
      <c r="H319" t="s">
        <v>49</v>
      </c>
      <c r="I319" s="2">
        <v>45142</v>
      </c>
      <c r="J319" t="s">
        <v>401</v>
      </c>
      <c r="K319" t="s">
        <v>27</v>
      </c>
      <c r="L319" t="s">
        <v>53</v>
      </c>
      <c r="M319" t="s">
        <v>123</v>
      </c>
      <c r="N319" t="str">
        <f t="shared" si="9"/>
        <v>August</v>
      </c>
    </row>
    <row r="320" spans="1:14" x14ac:dyDescent="0.3">
      <c r="A320" t="s">
        <v>402</v>
      </c>
      <c r="B320" s="1">
        <v>2174</v>
      </c>
      <c r="C320" s="1">
        <f t="shared" si="8"/>
        <v>1909</v>
      </c>
      <c r="D320">
        <v>265</v>
      </c>
      <c r="E320">
        <v>19</v>
      </c>
      <c r="F320" t="s">
        <v>32</v>
      </c>
      <c r="G320" t="s">
        <v>33</v>
      </c>
      <c r="H320" t="s">
        <v>49</v>
      </c>
      <c r="I320" s="2">
        <v>44662</v>
      </c>
      <c r="J320" t="s">
        <v>403</v>
      </c>
      <c r="K320" t="s">
        <v>100</v>
      </c>
      <c r="L320" t="s">
        <v>109</v>
      </c>
      <c r="M320" t="s">
        <v>189</v>
      </c>
      <c r="N320" t="str">
        <f t="shared" si="9"/>
        <v>April</v>
      </c>
    </row>
    <row r="321" spans="1:14" x14ac:dyDescent="0.3">
      <c r="A321" t="s">
        <v>402</v>
      </c>
      <c r="B321" s="1">
        <v>8541</v>
      </c>
      <c r="C321" s="1">
        <f t="shared" si="8"/>
        <v>6512</v>
      </c>
      <c r="D321">
        <v>2029</v>
      </c>
      <c r="E321">
        <v>12</v>
      </c>
      <c r="F321" t="s">
        <v>15</v>
      </c>
      <c r="G321" t="s">
        <v>16</v>
      </c>
      <c r="H321" t="s">
        <v>49</v>
      </c>
      <c r="I321" s="2">
        <v>44662</v>
      </c>
      <c r="J321" t="s">
        <v>403</v>
      </c>
      <c r="K321" t="s">
        <v>100</v>
      </c>
      <c r="L321" t="s">
        <v>109</v>
      </c>
      <c r="M321" t="s">
        <v>189</v>
      </c>
      <c r="N321" t="str">
        <f t="shared" si="9"/>
        <v>April</v>
      </c>
    </row>
    <row r="322" spans="1:14" x14ac:dyDescent="0.3">
      <c r="A322" t="s">
        <v>402</v>
      </c>
      <c r="B322" s="1">
        <v>1931</v>
      </c>
      <c r="C322" s="1">
        <f t="shared" ref="C322:C385" si="10">B322-D322</f>
        <v>1380</v>
      </c>
      <c r="D322">
        <v>551</v>
      </c>
      <c r="E322">
        <v>3</v>
      </c>
      <c r="F322" t="s">
        <v>47</v>
      </c>
      <c r="G322" t="s">
        <v>111</v>
      </c>
      <c r="H322" t="s">
        <v>42</v>
      </c>
      <c r="I322" s="2">
        <v>44662</v>
      </c>
      <c r="J322" t="s">
        <v>403</v>
      </c>
      <c r="K322" t="s">
        <v>100</v>
      </c>
      <c r="L322" t="s">
        <v>109</v>
      </c>
      <c r="M322" t="s">
        <v>189</v>
      </c>
      <c r="N322" t="str">
        <f t="shared" si="9"/>
        <v>April</v>
      </c>
    </row>
    <row r="323" spans="1:14" x14ac:dyDescent="0.3">
      <c r="A323" t="s">
        <v>404</v>
      </c>
      <c r="B323" s="1">
        <v>1281</v>
      </c>
      <c r="C323" s="1">
        <f t="shared" si="10"/>
        <v>941</v>
      </c>
      <c r="D323">
        <v>340</v>
      </c>
      <c r="E323">
        <v>3</v>
      </c>
      <c r="F323" t="s">
        <v>15</v>
      </c>
      <c r="G323" t="s">
        <v>16</v>
      </c>
      <c r="H323" t="s">
        <v>34</v>
      </c>
      <c r="I323" s="2">
        <v>44561</v>
      </c>
      <c r="J323" t="s">
        <v>405</v>
      </c>
      <c r="K323" t="s">
        <v>73</v>
      </c>
      <c r="L323" t="s">
        <v>88</v>
      </c>
      <c r="M323" t="s">
        <v>92</v>
      </c>
      <c r="N323" t="str">
        <f t="shared" ref="N323:N386" si="11">TEXT(DATE(LEFT(M323,4),RIGHT(M323,2),1),"mmmm")</f>
        <v>December</v>
      </c>
    </row>
    <row r="324" spans="1:14" x14ac:dyDescent="0.3">
      <c r="A324" t="s">
        <v>404</v>
      </c>
      <c r="B324" s="1">
        <v>2404</v>
      </c>
      <c r="C324" s="1">
        <f t="shared" si="10"/>
        <v>2151</v>
      </c>
      <c r="D324">
        <v>253</v>
      </c>
      <c r="E324">
        <v>15</v>
      </c>
      <c r="F324" t="s">
        <v>15</v>
      </c>
      <c r="G324" t="s">
        <v>41</v>
      </c>
      <c r="H324" t="s">
        <v>67</v>
      </c>
      <c r="I324" s="2">
        <v>44561</v>
      </c>
      <c r="J324" t="s">
        <v>405</v>
      </c>
      <c r="K324" t="s">
        <v>73</v>
      </c>
      <c r="L324" t="s">
        <v>88</v>
      </c>
      <c r="M324" t="s">
        <v>92</v>
      </c>
      <c r="N324" t="str">
        <f t="shared" si="11"/>
        <v>December</v>
      </c>
    </row>
    <row r="325" spans="1:14" x14ac:dyDescent="0.3">
      <c r="A325" t="s">
        <v>406</v>
      </c>
      <c r="B325" s="1">
        <v>2119</v>
      </c>
      <c r="C325" s="1">
        <f t="shared" si="10"/>
        <v>1923</v>
      </c>
      <c r="D325">
        <v>196</v>
      </c>
      <c r="E325">
        <v>1</v>
      </c>
      <c r="F325" t="s">
        <v>47</v>
      </c>
      <c r="G325" t="s">
        <v>62</v>
      </c>
      <c r="H325" t="s">
        <v>67</v>
      </c>
      <c r="I325" s="2">
        <v>44059</v>
      </c>
      <c r="J325" t="s">
        <v>407</v>
      </c>
      <c r="K325" t="s">
        <v>44</v>
      </c>
      <c r="L325" t="s">
        <v>45</v>
      </c>
      <c r="M325" t="s">
        <v>187</v>
      </c>
      <c r="N325" t="str">
        <f t="shared" si="11"/>
        <v>August</v>
      </c>
    </row>
    <row r="326" spans="1:14" x14ac:dyDescent="0.3">
      <c r="A326" t="s">
        <v>408</v>
      </c>
      <c r="B326" s="1">
        <v>3137</v>
      </c>
      <c r="C326" s="1">
        <f t="shared" si="10"/>
        <v>2566</v>
      </c>
      <c r="D326">
        <v>571</v>
      </c>
      <c r="E326">
        <v>9</v>
      </c>
      <c r="F326" t="s">
        <v>32</v>
      </c>
      <c r="G326" t="s">
        <v>33</v>
      </c>
      <c r="H326" t="s">
        <v>34</v>
      </c>
      <c r="I326" s="2">
        <v>45690</v>
      </c>
      <c r="J326" t="s">
        <v>409</v>
      </c>
      <c r="K326" t="s">
        <v>23</v>
      </c>
      <c r="L326" t="s">
        <v>24</v>
      </c>
      <c r="M326" t="s">
        <v>75</v>
      </c>
      <c r="N326" t="str">
        <f t="shared" si="11"/>
        <v>February</v>
      </c>
    </row>
    <row r="327" spans="1:14" x14ac:dyDescent="0.3">
      <c r="A327" t="s">
        <v>410</v>
      </c>
      <c r="B327" s="1">
        <v>2323</v>
      </c>
      <c r="C327" s="1">
        <f t="shared" si="10"/>
        <v>1596</v>
      </c>
      <c r="D327">
        <v>727</v>
      </c>
      <c r="E327">
        <v>7</v>
      </c>
      <c r="F327" t="s">
        <v>47</v>
      </c>
      <c r="G327" t="s">
        <v>48</v>
      </c>
      <c r="H327" t="s">
        <v>67</v>
      </c>
      <c r="I327" s="2">
        <v>44616</v>
      </c>
      <c r="J327" t="s">
        <v>411</v>
      </c>
      <c r="K327" t="s">
        <v>73</v>
      </c>
      <c r="L327" t="s">
        <v>74</v>
      </c>
      <c r="M327" t="s">
        <v>139</v>
      </c>
      <c r="N327" t="str">
        <f t="shared" si="11"/>
        <v>February</v>
      </c>
    </row>
    <row r="328" spans="1:14" x14ac:dyDescent="0.3">
      <c r="A328" t="s">
        <v>410</v>
      </c>
      <c r="B328" s="1">
        <v>1368</v>
      </c>
      <c r="C328" s="1">
        <f t="shared" si="10"/>
        <v>962</v>
      </c>
      <c r="D328">
        <v>406</v>
      </c>
      <c r="E328">
        <v>9</v>
      </c>
      <c r="F328" t="s">
        <v>47</v>
      </c>
      <c r="G328" t="s">
        <v>111</v>
      </c>
      <c r="H328" t="s">
        <v>17</v>
      </c>
      <c r="I328" s="2">
        <v>44616</v>
      </c>
      <c r="J328" t="s">
        <v>411</v>
      </c>
      <c r="K328" t="s">
        <v>73</v>
      </c>
      <c r="L328" t="s">
        <v>74</v>
      </c>
      <c r="M328" t="s">
        <v>139</v>
      </c>
      <c r="N328" t="str">
        <f t="shared" si="11"/>
        <v>February</v>
      </c>
    </row>
    <row r="329" spans="1:14" x14ac:dyDescent="0.3">
      <c r="A329" t="s">
        <v>412</v>
      </c>
      <c r="B329" s="1">
        <v>9204</v>
      </c>
      <c r="C329" s="1">
        <f t="shared" si="10"/>
        <v>5915</v>
      </c>
      <c r="D329">
        <v>3289</v>
      </c>
      <c r="E329">
        <v>16</v>
      </c>
      <c r="F329" t="s">
        <v>15</v>
      </c>
      <c r="G329" t="s">
        <v>41</v>
      </c>
      <c r="H329" t="s">
        <v>49</v>
      </c>
      <c r="I329" s="2">
        <v>45347</v>
      </c>
      <c r="J329" t="s">
        <v>413</v>
      </c>
      <c r="K329" t="s">
        <v>19</v>
      </c>
      <c r="L329" t="s">
        <v>20</v>
      </c>
      <c r="M329" t="s">
        <v>220</v>
      </c>
      <c r="N329" t="str">
        <f t="shared" si="11"/>
        <v>February</v>
      </c>
    </row>
    <row r="330" spans="1:14" x14ac:dyDescent="0.3">
      <c r="A330" t="s">
        <v>412</v>
      </c>
      <c r="B330" s="1">
        <v>9204</v>
      </c>
      <c r="C330" s="1">
        <f t="shared" si="10"/>
        <v>5915</v>
      </c>
      <c r="D330">
        <v>3289</v>
      </c>
      <c r="E330">
        <v>16</v>
      </c>
      <c r="F330" t="s">
        <v>15</v>
      </c>
      <c r="G330" t="s">
        <v>41</v>
      </c>
      <c r="H330" t="s">
        <v>49</v>
      </c>
      <c r="I330" s="2">
        <v>44362</v>
      </c>
      <c r="J330" t="s">
        <v>414</v>
      </c>
      <c r="K330" t="s">
        <v>19</v>
      </c>
      <c r="L330" t="s">
        <v>20</v>
      </c>
      <c r="M330" t="s">
        <v>127</v>
      </c>
      <c r="N330" t="str">
        <f t="shared" si="11"/>
        <v>June</v>
      </c>
    </row>
    <row r="331" spans="1:14" x14ac:dyDescent="0.3">
      <c r="A331" t="s">
        <v>412</v>
      </c>
      <c r="B331" s="1">
        <v>9894</v>
      </c>
      <c r="C331" s="1">
        <f t="shared" si="10"/>
        <v>6196</v>
      </c>
      <c r="D331">
        <v>3698</v>
      </c>
      <c r="E331">
        <v>20</v>
      </c>
      <c r="F331" t="s">
        <v>32</v>
      </c>
      <c r="G331" t="s">
        <v>66</v>
      </c>
      <c r="H331" t="s">
        <v>42</v>
      </c>
      <c r="I331" s="2">
        <v>45347</v>
      </c>
      <c r="J331" t="s">
        <v>413</v>
      </c>
      <c r="K331" t="s">
        <v>19</v>
      </c>
      <c r="L331" t="s">
        <v>20</v>
      </c>
      <c r="M331" t="s">
        <v>220</v>
      </c>
      <c r="N331" t="str">
        <f t="shared" si="11"/>
        <v>February</v>
      </c>
    </row>
    <row r="332" spans="1:14" x14ac:dyDescent="0.3">
      <c r="A332" t="s">
        <v>412</v>
      </c>
      <c r="B332" s="1">
        <v>9894</v>
      </c>
      <c r="C332" s="1">
        <f t="shared" si="10"/>
        <v>6196</v>
      </c>
      <c r="D332">
        <v>3698</v>
      </c>
      <c r="E332">
        <v>20</v>
      </c>
      <c r="F332" t="s">
        <v>32</v>
      </c>
      <c r="G332" t="s">
        <v>66</v>
      </c>
      <c r="H332" t="s">
        <v>42</v>
      </c>
      <c r="I332" s="2">
        <v>44362</v>
      </c>
      <c r="J332" t="s">
        <v>414</v>
      </c>
      <c r="K332" t="s">
        <v>19</v>
      </c>
      <c r="L332" t="s">
        <v>20</v>
      </c>
      <c r="M332" t="s">
        <v>127</v>
      </c>
      <c r="N332" t="str">
        <f t="shared" si="11"/>
        <v>June</v>
      </c>
    </row>
    <row r="333" spans="1:14" x14ac:dyDescent="0.3">
      <c r="A333" t="s">
        <v>415</v>
      </c>
      <c r="B333" s="1">
        <v>5322</v>
      </c>
      <c r="C333" s="1">
        <f t="shared" si="10"/>
        <v>3899</v>
      </c>
      <c r="D333">
        <v>1423</v>
      </c>
      <c r="E333">
        <v>18</v>
      </c>
      <c r="F333" t="s">
        <v>47</v>
      </c>
      <c r="G333" t="s">
        <v>62</v>
      </c>
      <c r="H333" t="s">
        <v>67</v>
      </c>
      <c r="I333" s="2">
        <v>44903</v>
      </c>
      <c r="J333" t="s">
        <v>416</v>
      </c>
      <c r="K333" t="s">
        <v>73</v>
      </c>
      <c r="L333" t="s">
        <v>140</v>
      </c>
      <c r="M333" t="s">
        <v>154</v>
      </c>
      <c r="N333" t="str">
        <f t="shared" si="11"/>
        <v>December</v>
      </c>
    </row>
    <row r="334" spans="1:14" x14ac:dyDescent="0.3">
      <c r="A334" t="s">
        <v>415</v>
      </c>
      <c r="B334" s="1">
        <v>5322</v>
      </c>
      <c r="C334" s="1">
        <f t="shared" si="10"/>
        <v>3899</v>
      </c>
      <c r="D334">
        <v>1423</v>
      </c>
      <c r="E334">
        <v>18</v>
      </c>
      <c r="F334" t="s">
        <v>47</v>
      </c>
      <c r="G334" t="s">
        <v>62</v>
      </c>
      <c r="H334" t="s">
        <v>67</v>
      </c>
      <c r="I334" s="2">
        <v>45269</v>
      </c>
      <c r="J334" t="s">
        <v>417</v>
      </c>
      <c r="K334" t="s">
        <v>73</v>
      </c>
      <c r="L334" t="s">
        <v>74</v>
      </c>
      <c r="M334" t="s">
        <v>104</v>
      </c>
      <c r="N334" t="str">
        <f t="shared" si="11"/>
        <v>December</v>
      </c>
    </row>
    <row r="335" spans="1:14" x14ac:dyDescent="0.3">
      <c r="A335" t="s">
        <v>418</v>
      </c>
      <c r="B335" s="1">
        <v>2666</v>
      </c>
      <c r="C335" s="1">
        <f t="shared" si="10"/>
        <v>2107</v>
      </c>
      <c r="D335">
        <v>559</v>
      </c>
      <c r="E335">
        <v>14</v>
      </c>
      <c r="F335" t="s">
        <v>47</v>
      </c>
      <c r="G335" t="s">
        <v>51</v>
      </c>
      <c r="H335" t="s">
        <v>67</v>
      </c>
      <c r="I335" s="2">
        <v>44758</v>
      </c>
      <c r="J335" t="s">
        <v>419</v>
      </c>
      <c r="K335" t="s">
        <v>100</v>
      </c>
      <c r="L335" t="s">
        <v>119</v>
      </c>
      <c r="M335" t="s">
        <v>420</v>
      </c>
      <c r="N335" t="str">
        <f t="shared" si="11"/>
        <v>July</v>
      </c>
    </row>
    <row r="336" spans="1:14" x14ac:dyDescent="0.3">
      <c r="A336" t="s">
        <v>421</v>
      </c>
      <c r="B336" s="1">
        <v>8383</v>
      </c>
      <c r="C336" s="1">
        <f t="shared" si="10"/>
        <v>7446</v>
      </c>
      <c r="D336">
        <v>937</v>
      </c>
      <c r="E336">
        <v>4</v>
      </c>
      <c r="F336" t="s">
        <v>47</v>
      </c>
      <c r="G336" t="s">
        <v>62</v>
      </c>
      <c r="H336" t="s">
        <v>17</v>
      </c>
      <c r="I336" s="2">
        <v>45417</v>
      </c>
      <c r="J336" t="s">
        <v>422</v>
      </c>
      <c r="K336" t="s">
        <v>19</v>
      </c>
      <c r="L336" t="s">
        <v>36</v>
      </c>
      <c r="M336" t="s">
        <v>37</v>
      </c>
      <c r="N336" t="str">
        <f t="shared" si="11"/>
        <v>May</v>
      </c>
    </row>
    <row r="337" spans="1:14" x14ac:dyDescent="0.3">
      <c r="A337" t="s">
        <v>423</v>
      </c>
      <c r="B337" s="1">
        <v>7560</v>
      </c>
      <c r="C337" s="1">
        <f t="shared" si="10"/>
        <v>6739</v>
      </c>
      <c r="D337">
        <v>821</v>
      </c>
      <c r="E337">
        <v>4</v>
      </c>
      <c r="F337" t="s">
        <v>32</v>
      </c>
      <c r="G337" t="s">
        <v>66</v>
      </c>
      <c r="H337" t="s">
        <v>42</v>
      </c>
      <c r="I337" s="2">
        <v>44473</v>
      </c>
      <c r="J337" t="s">
        <v>424</v>
      </c>
      <c r="K337" t="s">
        <v>23</v>
      </c>
      <c r="L337" t="s">
        <v>24</v>
      </c>
      <c r="M337" t="s">
        <v>39</v>
      </c>
      <c r="N337" t="str">
        <f t="shared" si="11"/>
        <v>October</v>
      </c>
    </row>
    <row r="338" spans="1:14" x14ac:dyDescent="0.3">
      <c r="A338" t="s">
        <v>425</v>
      </c>
      <c r="B338" s="1">
        <v>1314</v>
      </c>
      <c r="C338" s="1">
        <f t="shared" si="10"/>
        <v>824</v>
      </c>
      <c r="D338">
        <v>490</v>
      </c>
      <c r="E338">
        <v>16</v>
      </c>
      <c r="F338" t="s">
        <v>47</v>
      </c>
      <c r="G338" t="s">
        <v>62</v>
      </c>
      <c r="H338" t="s">
        <v>17</v>
      </c>
      <c r="I338" s="2">
        <v>44520</v>
      </c>
      <c r="J338" t="s">
        <v>426</v>
      </c>
      <c r="K338" t="s">
        <v>27</v>
      </c>
      <c r="L338" t="s">
        <v>28</v>
      </c>
      <c r="M338" t="s">
        <v>177</v>
      </c>
      <c r="N338" t="str">
        <f t="shared" si="11"/>
        <v>November</v>
      </c>
    </row>
    <row r="339" spans="1:14" x14ac:dyDescent="0.3">
      <c r="A339" t="s">
        <v>425</v>
      </c>
      <c r="B339" s="1">
        <v>4390</v>
      </c>
      <c r="C339" s="1">
        <f t="shared" si="10"/>
        <v>4211</v>
      </c>
      <c r="D339">
        <v>179</v>
      </c>
      <c r="E339">
        <v>1</v>
      </c>
      <c r="F339" t="s">
        <v>47</v>
      </c>
      <c r="G339" t="s">
        <v>48</v>
      </c>
      <c r="H339" t="s">
        <v>34</v>
      </c>
      <c r="I339" s="2">
        <v>44520</v>
      </c>
      <c r="J339" t="s">
        <v>426</v>
      </c>
      <c r="K339" t="s">
        <v>27</v>
      </c>
      <c r="L339" t="s">
        <v>28</v>
      </c>
      <c r="M339" t="s">
        <v>177</v>
      </c>
      <c r="N339" t="str">
        <f t="shared" si="11"/>
        <v>November</v>
      </c>
    </row>
    <row r="340" spans="1:14" x14ac:dyDescent="0.3">
      <c r="A340" t="s">
        <v>425</v>
      </c>
      <c r="B340" s="1">
        <v>1150</v>
      </c>
      <c r="C340" s="1">
        <f t="shared" si="10"/>
        <v>1092</v>
      </c>
      <c r="D340">
        <v>58</v>
      </c>
      <c r="E340">
        <v>7</v>
      </c>
      <c r="F340" t="s">
        <v>32</v>
      </c>
      <c r="G340" t="s">
        <v>80</v>
      </c>
      <c r="H340" t="s">
        <v>34</v>
      </c>
      <c r="I340" s="2">
        <v>44520</v>
      </c>
      <c r="J340" t="s">
        <v>426</v>
      </c>
      <c r="K340" t="s">
        <v>27</v>
      </c>
      <c r="L340" t="s">
        <v>28</v>
      </c>
      <c r="M340" t="s">
        <v>177</v>
      </c>
      <c r="N340" t="str">
        <f t="shared" si="11"/>
        <v>November</v>
      </c>
    </row>
    <row r="341" spans="1:14" x14ac:dyDescent="0.3">
      <c r="A341" t="s">
        <v>427</v>
      </c>
      <c r="B341" s="1">
        <v>1574</v>
      </c>
      <c r="C341" s="1">
        <f t="shared" si="10"/>
        <v>1316</v>
      </c>
      <c r="D341">
        <v>258</v>
      </c>
      <c r="E341">
        <v>17</v>
      </c>
      <c r="F341" t="s">
        <v>32</v>
      </c>
      <c r="G341" t="s">
        <v>33</v>
      </c>
      <c r="H341" t="s">
        <v>42</v>
      </c>
      <c r="I341" s="2">
        <v>44089</v>
      </c>
      <c r="J341" t="s">
        <v>428</v>
      </c>
      <c r="K341" t="s">
        <v>44</v>
      </c>
      <c r="L341" t="s">
        <v>77</v>
      </c>
      <c r="M341" t="s">
        <v>391</v>
      </c>
      <c r="N341" t="str">
        <f t="shared" si="11"/>
        <v>September</v>
      </c>
    </row>
    <row r="342" spans="1:14" x14ac:dyDescent="0.3">
      <c r="A342" t="s">
        <v>427</v>
      </c>
      <c r="B342" s="1">
        <v>5635</v>
      </c>
      <c r="C342" s="1">
        <f t="shared" si="10"/>
        <v>5317</v>
      </c>
      <c r="D342">
        <v>318</v>
      </c>
      <c r="E342">
        <v>17</v>
      </c>
      <c r="F342" t="s">
        <v>32</v>
      </c>
      <c r="G342" t="s">
        <v>80</v>
      </c>
      <c r="H342" t="s">
        <v>17</v>
      </c>
      <c r="I342" s="2">
        <v>44089</v>
      </c>
      <c r="J342" t="s">
        <v>428</v>
      </c>
      <c r="K342" t="s">
        <v>44</v>
      </c>
      <c r="L342" t="s">
        <v>77</v>
      </c>
      <c r="M342" t="s">
        <v>391</v>
      </c>
      <c r="N342" t="str">
        <f t="shared" si="11"/>
        <v>September</v>
      </c>
    </row>
    <row r="343" spans="1:14" x14ac:dyDescent="0.3">
      <c r="A343" t="s">
        <v>427</v>
      </c>
      <c r="B343" s="1">
        <v>6515</v>
      </c>
      <c r="C343" s="1">
        <f t="shared" si="10"/>
        <v>5554</v>
      </c>
      <c r="D343">
        <v>961</v>
      </c>
      <c r="E343">
        <v>11</v>
      </c>
      <c r="F343" t="s">
        <v>47</v>
      </c>
      <c r="G343" t="s">
        <v>62</v>
      </c>
      <c r="H343" t="s">
        <v>34</v>
      </c>
      <c r="I343" s="2">
        <v>44089</v>
      </c>
      <c r="J343" t="s">
        <v>428</v>
      </c>
      <c r="K343" t="s">
        <v>44</v>
      </c>
      <c r="L343" t="s">
        <v>77</v>
      </c>
      <c r="M343" t="s">
        <v>391</v>
      </c>
      <c r="N343" t="str">
        <f t="shared" si="11"/>
        <v>September</v>
      </c>
    </row>
    <row r="344" spans="1:14" x14ac:dyDescent="0.3">
      <c r="A344" t="s">
        <v>429</v>
      </c>
      <c r="B344" s="1">
        <v>1231</v>
      </c>
      <c r="C344" s="1">
        <f t="shared" si="10"/>
        <v>1017</v>
      </c>
      <c r="D344">
        <v>214</v>
      </c>
      <c r="E344">
        <v>20</v>
      </c>
      <c r="F344" t="s">
        <v>15</v>
      </c>
      <c r="G344" t="s">
        <v>41</v>
      </c>
      <c r="H344" t="s">
        <v>34</v>
      </c>
      <c r="I344" s="2">
        <v>44943</v>
      </c>
      <c r="J344" t="s">
        <v>430</v>
      </c>
      <c r="K344" t="s">
        <v>100</v>
      </c>
      <c r="L344" t="s">
        <v>101</v>
      </c>
      <c r="M344" t="s">
        <v>335</v>
      </c>
      <c r="N344" t="str">
        <f t="shared" si="11"/>
        <v>January</v>
      </c>
    </row>
    <row r="345" spans="1:14" x14ac:dyDescent="0.3">
      <c r="A345" t="s">
        <v>429</v>
      </c>
      <c r="B345" s="1">
        <v>1231</v>
      </c>
      <c r="C345" s="1">
        <f t="shared" si="10"/>
        <v>1017</v>
      </c>
      <c r="D345">
        <v>214</v>
      </c>
      <c r="E345">
        <v>20</v>
      </c>
      <c r="F345" t="s">
        <v>15</v>
      </c>
      <c r="G345" t="s">
        <v>41</v>
      </c>
      <c r="H345" t="s">
        <v>34</v>
      </c>
      <c r="I345" s="2">
        <v>43998</v>
      </c>
      <c r="J345" t="s">
        <v>431</v>
      </c>
      <c r="K345" t="s">
        <v>27</v>
      </c>
      <c r="L345" t="s">
        <v>70</v>
      </c>
      <c r="M345" t="s">
        <v>315</v>
      </c>
      <c r="N345" t="str">
        <f t="shared" si="11"/>
        <v>June</v>
      </c>
    </row>
    <row r="346" spans="1:14" x14ac:dyDescent="0.3">
      <c r="A346" t="s">
        <v>432</v>
      </c>
      <c r="B346" s="1">
        <v>6891</v>
      </c>
      <c r="C346" s="1">
        <f t="shared" si="10"/>
        <v>4362</v>
      </c>
      <c r="D346">
        <v>2529</v>
      </c>
      <c r="E346">
        <v>3</v>
      </c>
      <c r="F346" t="s">
        <v>32</v>
      </c>
      <c r="G346" t="s">
        <v>80</v>
      </c>
      <c r="H346" t="s">
        <v>34</v>
      </c>
      <c r="I346" s="2">
        <v>45413</v>
      </c>
      <c r="J346" t="s">
        <v>433</v>
      </c>
      <c r="K346" t="s">
        <v>100</v>
      </c>
      <c r="L346" t="s">
        <v>119</v>
      </c>
      <c r="M346" t="s">
        <v>37</v>
      </c>
      <c r="N346" t="str">
        <f t="shared" si="11"/>
        <v>May</v>
      </c>
    </row>
    <row r="347" spans="1:14" x14ac:dyDescent="0.3">
      <c r="A347" t="s">
        <v>434</v>
      </c>
      <c r="B347" s="1">
        <v>7524</v>
      </c>
      <c r="C347" s="1">
        <f t="shared" si="10"/>
        <v>5216</v>
      </c>
      <c r="D347">
        <v>2308</v>
      </c>
      <c r="E347">
        <v>15</v>
      </c>
      <c r="F347" t="s">
        <v>15</v>
      </c>
      <c r="G347" t="s">
        <v>41</v>
      </c>
      <c r="H347" t="s">
        <v>42</v>
      </c>
      <c r="I347" s="2">
        <v>45267</v>
      </c>
      <c r="J347" t="s">
        <v>435</v>
      </c>
      <c r="K347" t="s">
        <v>73</v>
      </c>
      <c r="L347" t="s">
        <v>88</v>
      </c>
      <c r="M347" t="s">
        <v>104</v>
      </c>
      <c r="N347" t="str">
        <f t="shared" si="11"/>
        <v>December</v>
      </c>
    </row>
    <row r="348" spans="1:14" x14ac:dyDescent="0.3">
      <c r="A348" t="s">
        <v>434</v>
      </c>
      <c r="B348" s="1">
        <v>6864</v>
      </c>
      <c r="C348" s="1">
        <f t="shared" si="10"/>
        <v>5040</v>
      </c>
      <c r="D348">
        <v>1824</v>
      </c>
      <c r="E348">
        <v>14</v>
      </c>
      <c r="F348" t="s">
        <v>15</v>
      </c>
      <c r="G348" t="s">
        <v>30</v>
      </c>
      <c r="H348" t="s">
        <v>49</v>
      </c>
      <c r="I348" s="2">
        <v>45267</v>
      </c>
      <c r="J348" t="s">
        <v>435</v>
      </c>
      <c r="K348" t="s">
        <v>73</v>
      </c>
      <c r="L348" t="s">
        <v>88</v>
      </c>
      <c r="M348" t="s">
        <v>104</v>
      </c>
      <c r="N348" t="str">
        <f t="shared" si="11"/>
        <v>December</v>
      </c>
    </row>
    <row r="349" spans="1:14" x14ac:dyDescent="0.3">
      <c r="A349" t="s">
        <v>436</v>
      </c>
      <c r="B349" s="1">
        <v>4215</v>
      </c>
      <c r="C349" s="1">
        <f t="shared" si="10"/>
        <v>3783</v>
      </c>
      <c r="D349">
        <v>432</v>
      </c>
      <c r="E349">
        <v>14</v>
      </c>
      <c r="F349" t="s">
        <v>47</v>
      </c>
      <c r="G349" t="s">
        <v>51</v>
      </c>
      <c r="H349" t="s">
        <v>34</v>
      </c>
      <c r="I349" s="2">
        <v>45324</v>
      </c>
      <c r="J349" t="s">
        <v>437</v>
      </c>
      <c r="K349" t="s">
        <v>100</v>
      </c>
      <c r="L349" t="s">
        <v>101</v>
      </c>
      <c r="M349" t="s">
        <v>220</v>
      </c>
      <c r="N349" t="str">
        <f t="shared" si="11"/>
        <v>February</v>
      </c>
    </row>
    <row r="350" spans="1:14" x14ac:dyDescent="0.3">
      <c r="A350" t="s">
        <v>438</v>
      </c>
      <c r="B350" s="1">
        <v>622</v>
      </c>
      <c r="C350" s="1">
        <f t="shared" si="10"/>
        <v>404</v>
      </c>
      <c r="D350">
        <v>218</v>
      </c>
      <c r="E350">
        <v>19</v>
      </c>
      <c r="F350" t="s">
        <v>47</v>
      </c>
      <c r="G350" t="s">
        <v>111</v>
      </c>
      <c r="H350" t="s">
        <v>49</v>
      </c>
      <c r="I350" s="2">
        <v>45466</v>
      </c>
      <c r="J350" t="s">
        <v>439</v>
      </c>
      <c r="K350" t="s">
        <v>44</v>
      </c>
      <c r="L350" t="s">
        <v>77</v>
      </c>
      <c r="M350" t="s">
        <v>264</v>
      </c>
      <c r="N350" t="str">
        <f t="shared" si="11"/>
        <v>June</v>
      </c>
    </row>
    <row r="351" spans="1:14" x14ac:dyDescent="0.3">
      <c r="A351" t="s">
        <v>438</v>
      </c>
      <c r="B351" s="1">
        <v>1755</v>
      </c>
      <c r="C351" s="1">
        <f t="shared" si="10"/>
        <v>1260</v>
      </c>
      <c r="D351">
        <v>495</v>
      </c>
      <c r="E351">
        <v>18</v>
      </c>
      <c r="F351" t="s">
        <v>32</v>
      </c>
      <c r="G351" t="s">
        <v>33</v>
      </c>
      <c r="H351" t="s">
        <v>17</v>
      </c>
      <c r="I351" s="2">
        <v>45466</v>
      </c>
      <c r="J351" t="s">
        <v>439</v>
      </c>
      <c r="K351" t="s">
        <v>44</v>
      </c>
      <c r="L351" t="s">
        <v>77</v>
      </c>
      <c r="M351" t="s">
        <v>264</v>
      </c>
      <c r="N351" t="str">
        <f t="shared" si="11"/>
        <v>June</v>
      </c>
    </row>
    <row r="352" spans="1:14" x14ac:dyDescent="0.3">
      <c r="A352" t="s">
        <v>438</v>
      </c>
      <c r="B352" s="1">
        <v>8020</v>
      </c>
      <c r="C352" s="1">
        <f t="shared" si="10"/>
        <v>4122</v>
      </c>
      <c r="D352">
        <v>3898</v>
      </c>
      <c r="E352">
        <v>20</v>
      </c>
      <c r="F352" t="s">
        <v>15</v>
      </c>
      <c r="G352" t="s">
        <v>16</v>
      </c>
      <c r="H352" t="s">
        <v>42</v>
      </c>
      <c r="I352" s="2">
        <v>45466</v>
      </c>
      <c r="J352" t="s">
        <v>439</v>
      </c>
      <c r="K352" t="s">
        <v>44</v>
      </c>
      <c r="L352" t="s">
        <v>77</v>
      </c>
      <c r="M352" t="s">
        <v>264</v>
      </c>
      <c r="N352" t="str">
        <f t="shared" si="11"/>
        <v>June</v>
      </c>
    </row>
    <row r="353" spans="1:14" x14ac:dyDescent="0.3">
      <c r="A353" t="s">
        <v>440</v>
      </c>
      <c r="B353" s="1">
        <v>7333</v>
      </c>
      <c r="C353" s="1">
        <f t="shared" si="10"/>
        <v>5757</v>
      </c>
      <c r="D353">
        <v>1576</v>
      </c>
      <c r="E353">
        <v>4</v>
      </c>
      <c r="F353" t="s">
        <v>15</v>
      </c>
      <c r="G353" t="s">
        <v>41</v>
      </c>
      <c r="H353" t="s">
        <v>49</v>
      </c>
      <c r="I353" s="2">
        <v>45450</v>
      </c>
      <c r="J353" t="s">
        <v>441</v>
      </c>
      <c r="K353" t="s">
        <v>27</v>
      </c>
      <c r="L353" t="s">
        <v>28</v>
      </c>
      <c r="M353" t="s">
        <v>264</v>
      </c>
      <c r="N353" t="str">
        <f t="shared" si="11"/>
        <v>June</v>
      </c>
    </row>
    <row r="354" spans="1:14" x14ac:dyDescent="0.3">
      <c r="A354" t="s">
        <v>442</v>
      </c>
      <c r="B354" s="1">
        <v>7690</v>
      </c>
      <c r="C354" s="1">
        <f t="shared" si="10"/>
        <v>6556</v>
      </c>
      <c r="D354">
        <v>1134</v>
      </c>
      <c r="E354">
        <v>4</v>
      </c>
      <c r="F354" t="s">
        <v>15</v>
      </c>
      <c r="G354" t="s">
        <v>16</v>
      </c>
      <c r="H354" t="s">
        <v>67</v>
      </c>
      <c r="I354" s="2">
        <v>45212</v>
      </c>
      <c r="J354" t="s">
        <v>443</v>
      </c>
      <c r="K354" t="s">
        <v>27</v>
      </c>
      <c r="L354" t="s">
        <v>70</v>
      </c>
      <c r="M354" t="s">
        <v>444</v>
      </c>
      <c r="N354" t="str">
        <f t="shared" si="11"/>
        <v>October</v>
      </c>
    </row>
    <row r="355" spans="1:14" x14ac:dyDescent="0.3">
      <c r="A355" t="s">
        <v>442</v>
      </c>
      <c r="B355" s="1">
        <v>912</v>
      </c>
      <c r="C355" s="1">
        <f t="shared" si="10"/>
        <v>666</v>
      </c>
      <c r="D355">
        <v>246</v>
      </c>
      <c r="E355">
        <v>2</v>
      </c>
      <c r="F355" t="s">
        <v>47</v>
      </c>
      <c r="G355" t="s">
        <v>62</v>
      </c>
      <c r="H355" t="s">
        <v>42</v>
      </c>
      <c r="I355" s="2">
        <v>45212</v>
      </c>
      <c r="J355" t="s">
        <v>443</v>
      </c>
      <c r="K355" t="s">
        <v>27</v>
      </c>
      <c r="L355" t="s">
        <v>70</v>
      </c>
      <c r="M355" t="s">
        <v>444</v>
      </c>
      <c r="N355" t="str">
        <f t="shared" si="11"/>
        <v>October</v>
      </c>
    </row>
    <row r="356" spans="1:14" x14ac:dyDescent="0.3">
      <c r="A356" t="s">
        <v>445</v>
      </c>
      <c r="B356" s="1">
        <v>2791</v>
      </c>
      <c r="C356" s="1">
        <f t="shared" si="10"/>
        <v>1897</v>
      </c>
      <c r="D356">
        <v>894</v>
      </c>
      <c r="E356">
        <v>14</v>
      </c>
      <c r="F356" t="s">
        <v>15</v>
      </c>
      <c r="G356" t="s">
        <v>41</v>
      </c>
      <c r="H356" t="s">
        <v>67</v>
      </c>
      <c r="I356" s="2">
        <v>44842</v>
      </c>
      <c r="J356" t="s">
        <v>446</v>
      </c>
      <c r="K356" t="s">
        <v>73</v>
      </c>
      <c r="L356" t="s">
        <v>88</v>
      </c>
      <c r="M356" t="s">
        <v>98</v>
      </c>
      <c r="N356" t="str">
        <f t="shared" si="11"/>
        <v>October</v>
      </c>
    </row>
    <row r="357" spans="1:14" x14ac:dyDescent="0.3">
      <c r="A357" t="s">
        <v>445</v>
      </c>
      <c r="B357" s="1">
        <v>2791</v>
      </c>
      <c r="C357" s="1">
        <f t="shared" si="10"/>
        <v>1897</v>
      </c>
      <c r="D357">
        <v>894</v>
      </c>
      <c r="E357">
        <v>14</v>
      </c>
      <c r="F357" t="s">
        <v>15</v>
      </c>
      <c r="G357" t="s">
        <v>41</v>
      </c>
      <c r="H357" t="s">
        <v>67</v>
      </c>
      <c r="I357" s="2">
        <v>45226</v>
      </c>
      <c r="J357" t="s">
        <v>447</v>
      </c>
      <c r="K357" t="s">
        <v>100</v>
      </c>
      <c r="L357" t="s">
        <v>109</v>
      </c>
      <c r="M357" t="s">
        <v>444</v>
      </c>
      <c r="N357" t="str">
        <f t="shared" si="11"/>
        <v>October</v>
      </c>
    </row>
    <row r="358" spans="1:14" x14ac:dyDescent="0.3">
      <c r="A358" t="s">
        <v>445</v>
      </c>
      <c r="B358" s="1">
        <v>2791</v>
      </c>
      <c r="C358" s="1">
        <f t="shared" si="10"/>
        <v>1897</v>
      </c>
      <c r="D358">
        <v>894</v>
      </c>
      <c r="E358">
        <v>14</v>
      </c>
      <c r="F358" t="s">
        <v>15</v>
      </c>
      <c r="G358" t="s">
        <v>41</v>
      </c>
      <c r="H358" t="s">
        <v>67</v>
      </c>
      <c r="I358" s="2">
        <v>44236</v>
      </c>
      <c r="J358" t="s">
        <v>448</v>
      </c>
      <c r="K358" t="s">
        <v>73</v>
      </c>
      <c r="L358" t="s">
        <v>74</v>
      </c>
      <c r="M358" t="s">
        <v>294</v>
      </c>
      <c r="N358" t="str">
        <f t="shared" si="11"/>
        <v>February</v>
      </c>
    </row>
    <row r="359" spans="1:14" x14ac:dyDescent="0.3">
      <c r="A359" t="s">
        <v>445</v>
      </c>
      <c r="B359" s="1">
        <v>6223</v>
      </c>
      <c r="C359" s="1">
        <f t="shared" si="10"/>
        <v>4745</v>
      </c>
      <c r="D359">
        <v>1478</v>
      </c>
      <c r="E359">
        <v>3</v>
      </c>
      <c r="F359" t="s">
        <v>47</v>
      </c>
      <c r="G359" t="s">
        <v>62</v>
      </c>
      <c r="H359" t="s">
        <v>34</v>
      </c>
      <c r="I359" s="2">
        <v>44842</v>
      </c>
      <c r="J359" t="s">
        <v>446</v>
      </c>
      <c r="K359" t="s">
        <v>73</v>
      </c>
      <c r="L359" t="s">
        <v>88</v>
      </c>
      <c r="M359" t="s">
        <v>98</v>
      </c>
      <c r="N359" t="str">
        <f t="shared" si="11"/>
        <v>October</v>
      </c>
    </row>
    <row r="360" spans="1:14" x14ac:dyDescent="0.3">
      <c r="A360" t="s">
        <v>445</v>
      </c>
      <c r="B360" s="1">
        <v>6223</v>
      </c>
      <c r="C360" s="1">
        <f t="shared" si="10"/>
        <v>4745</v>
      </c>
      <c r="D360">
        <v>1478</v>
      </c>
      <c r="E360">
        <v>3</v>
      </c>
      <c r="F360" t="s">
        <v>47</v>
      </c>
      <c r="G360" t="s">
        <v>62</v>
      </c>
      <c r="H360" t="s">
        <v>34</v>
      </c>
      <c r="I360" s="2">
        <v>45226</v>
      </c>
      <c r="J360" t="s">
        <v>447</v>
      </c>
      <c r="K360" t="s">
        <v>100</v>
      </c>
      <c r="L360" t="s">
        <v>109</v>
      </c>
      <c r="M360" t="s">
        <v>444</v>
      </c>
      <c r="N360" t="str">
        <f t="shared" si="11"/>
        <v>October</v>
      </c>
    </row>
    <row r="361" spans="1:14" x14ac:dyDescent="0.3">
      <c r="A361" t="s">
        <v>445</v>
      </c>
      <c r="B361" s="1">
        <v>6223</v>
      </c>
      <c r="C361" s="1">
        <f t="shared" si="10"/>
        <v>4745</v>
      </c>
      <c r="D361">
        <v>1478</v>
      </c>
      <c r="E361">
        <v>3</v>
      </c>
      <c r="F361" t="s">
        <v>47</v>
      </c>
      <c r="G361" t="s">
        <v>62</v>
      </c>
      <c r="H361" t="s">
        <v>34</v>
      </c>
      <c r="I361" s="2">
        <v>44236</v>
      </c>
      <c r="J361" t="s">
        <v>448</v>
      </c>
      <c r="K361" t="s">
        <v>73</v>
      </c>
      <c r="L361" t="s">
        <v>74</v>
      </c>
      <c r="M361" t="s">
        <v>294</v>
      </c>
      <c r="N361" t="str">
        <f t="shared" si="11"/>
        <v>February</v>
      </c>
    </row>
    <row r="362" spans="1:14" x14ac:dyDescent="0.3">
      <c r="A362" t="s">
        <v>445</v>
      </c>
      <c r="B362" s="1">
        <v>8943</v>
      </c>
      <c r="C362" s="1">
        <f t="shared" si="10"/>
        <v>5822</v>
      </c>
      <c r="D362">
        <v>3121</v>
      </c>
      <c r="E362">
        <v>17</v>
      </c>
      <c r="F362" t="s">
        <v>47</v>
      </c>
      <c r="G362" t="s">
        <v>51</v>
      </c>
      <c r="H362" t="s">
        <v>34</v>
      </c>
      <c r="I362" s="2">
        <v>44842</v>
      </c>
      <c r="J362" t="s">
        <v>446</v>
      </c>
      <c r="K362" t="s">
        <v>73</v>
      </c>
      <c r="L362" t="s">
        <v>88</v>
      </c>
      <c r="M362" t="s">
        <v>98</v>
      </c>
      <c r="N362" t="str">
        <f t="shared" si="11"/>
        <v>October</v>
      </c>
    </row>
    <row r="363" spans="1:14" x14ac:dyDescent="0.3">
      <c r="A363" t="s">
        <v>445</v>
      </c>
      <c r="B363" s="1">
        <v>8943</v>
      </c>
      <c r="C363" s="1">
        <f t="shared" si="10"/>
        <v>5822</v>
      </c>
      <c r="D363">
        <v>3121</v>
      </c>
      <c r="E363">
        <v>17</v>
      </c>
      <c r="F363" t="s">
        <v>47</v>
      </c>
      <c r="G363" t="s">
        <v>51</v>
      </c>
      <c r="H363" t="s">
        <v>34</v>
      </c>
      <c r="I363" s="2">
        <v>45226</v>
      </c>
      <c r="J363" t="s">
        <v>447</v>
      </c>
      <c r="K363" t="s">
        <v>100</v>
      </c>
      <c r="L363" t="s">
        <v>109</v>
      </c>
      <c r="M363" t="s">
        <v>444</v>
      </c>
      <c r="N363" t="str">
        <f t="shared" si="11"/>
        <v>October</v>
      </c>
    </row>
    <row r="364" spans="1:14" x14ac:dyDescent="0.3">
      <c r="A364" t="s">
        <v>445</v>
      </c>
      <c r="B364" s="1">
        <v>8943</v>
      </c>
      <c r="C364" s="1">
        <f t="shared" si="10"/>
        <v>5822</v>
      </c>
      <c r="D364">
        <v>3121</v>
      </c>
      <c r="E364">
        <v>17</v>
      </c>
      <c r="F364" t="s">
        <v>47</v>
      </c>
      <c r="G364" t="s">
        <v>51</v>
      </c>
      <c r="H364" t="s">
        <v>34</v>
      </c>
      <c r="I364" s="2">
        <v>44236</v>
      </c>
      <c r="J364" t="s">
        <v>448</v>
      </c>
      <c r="K364" t="s">
        <v>73</v>
      </c>
      <c r="L364" t="s">
        <v>74</v>
      </c>
      <c r="M364" t="s">
        <v>294</v>
      </c>
      <c r="N364" t="str">
        <f t="shared" si="11"/>
        <v>February</v>
      </c>
    </row>
    <row r="365" spans="1:14" x14ac:dyDescent="0.3">
      <c r="A365" t="s">
        <v>445</v>
      </c>
      <c r="B365" s="1">
        <v>3297</v>
      </c>
      <c r="C365" s="1">
        <f t="shared" si="10"/>
        <v>3195</v>
      </c>
      <c r="D365">
        <v>102</v>
      </c>
      <c r="E365">
        <v>12</v>
      </c>
      <c r="F365" t="s">
        <v>15</v>
      </c>
      <c r="G365" t="s">
        <v>84</v>
      </c>
      <c r="H365" t="s">
        <v>49</v>
      </c>
      <c r="I365" s="2">
        <v>44842</v>
      </c>
      <c r="J365" t="s">
        <v>446</v>
      </c>
      <c r="K365" t="s">
        <v>73</v>
      </c>
      <c r="L365" t="s">
        <v>88</v>
      </c>
      <c r="M365" t="s">
        <v>98</v>
      </c>
      <c r="N365" t="str">
        <f t="shared" si="11"/>
        <v>October</v>
      </c>
    </row>
    <row r="366" spans="1:14" x14ac:dyDescent="0.3">
      <c r="A366" t="s">
        <v>445</v>
      </c>
      <c r="B366" s="1">
        <v>3297</v>
      </c>
      <c r="C366" s="1">
        <f t="shared" si="10"/>
        <v>3195</v>
      </c>
      <c r="D366">
        <v>102</v>
      </c>
      <c r="E366">
        <v>12</v>
      </c>
      <c r="F366" t="s">
        <v>15</v>
      </c>
      <c r="G366" t="s">
        <v>84</v>
      </c>
      <c r="H366" t="s">
        <v>49</v>
      </c>
      <c r="I366" s="2">
        <v>45226</v>
      </c>
      <c r="J366" t="s">
        <v>447</v>
      </c>
      <c r="K366" t="s">
        <v>100</v>
      </c>
      <c r="L366" t="s">
        <v>109</v>
      </c>
      <c r="M366" t="s">
        <v>444</v>
      </c>
      <c r="N366" t="str">
        <f t="shared" si="11"/>
        <v>October</v>
      </c>
    </row>
    <row r="367" spans="1:14" x14ac:dyDescent="0.3">
      <c r="A367" t="s">
        <v>445</v>
      </c>
      <c r="B367" s="1">
        <v>3297</v>
      </c>
      <c r="C367" s="1">
        <f t="shared" si="10"/>
        <v>3195</v>
      </c>
      <c r="D367">
        <v>102</v>
      </c>
      <c r="E367">
        <v>12</v>
      </c>
      <c r="F367" t="s">
        <v>15</v>
      </c>
      <c r="G367" t="s">
        <v>84</v>
      </c>
      <c r="H367" t="s">
        <v>49</v>
      </c>
      <c r="I367" s="2">
        <v>44236</v>
      </c>
      <c r="J367" t="s">
        <v>448</v>
      </c>
      <c r="K367" t="s">
        <v>73</v>
      </c>
      <c r="L367" t="s">
        <v>74</v>
      </c>
      <c r="M367" t="s">
        <v>294</v>
      </c>
      <c r="N367" t="str">
        <f t="shared" si="11"/>
        <v>February</v>
      </c>
    </row>
    <row r="368" spans="1:14" x14ac:dyDescent="0.3">
      <c r="A368" t="s">
        <v>449</v>
      </c>
      <c r="B368" s="1">
        <v>8769</v>
      </c>
      <c r="C368" s="1">
        <f t="shared" si="10"/>
        <v>6780</v>
      </c>
      <c r="D368">
        <v>1989</v>
      </c>
      <c r="E368">
        <v>20</v>
      </c>
      <c r="F368" t="s">
        <v>32</v>
      </c>
      <c r="G368" t="s">
        <v>66</v>
      </c>
      <c r="H368" t="s">
        <v>17</v>
      </c>
      <c r="I368" s="2">
        <v>44138</v>
      </c>
      <c r="J368" t="s">
        <v>450</v>
      </c>
      <c r="K368" t="s">
        <v>23</v>
      </c>
      <c r="L368" t="s">
        <v>24</v>
      </c>
      <c r="M368" t="s">
        <v>82</v>
      </c>
      <c r="N368" t="str">
        <f t="shared" si="11"/>
        <v>November</v>
      </c>
    </row>
    <row r="369" spans="1:14" x14ac:dyDescent="0.3">
      <c r="A369" t="s">
        <v>451</v>
      </c>
      <c r="B369" s="1">
        <v>9057</v>
      </c>
      <c r="C369" s="1">
        <f t="shared" si="10"/>
        <v>7169</v>
      </c>
      <c r="D369">
        <v>1888</v>
      </c>
      <c r="E369">
        <v>19</v>
      </c>
      <c r="F369" t="s">
        <v>15</v>
      </c>
      <c r="G369" t="s">
        <v>30</v>
      </c>
      <c r="H369" t="s">
        <v>67</v>
      </c>
      <c r="I369" s="2">
        <v>44711</v>
      </c>
      <c r="J369" t="s">
        <v>452</v>
      </c>
      <c r="K369" t="s">
        <v>19</v>
      </c>
      <c r="L369" t="s">
        <v>36</v>
      </c>
      <c r="M369" t="s">
        <v>182</v>
      </c>
      <c r="N369" t="str">
        <f t="shared" si="11"/>
        <v>May</v>
      </c>
    </row>
    <row r="370" spans="1:14" x14ac:dyDescent="0.3">
      <c r="A370" t="s">
        <v>451</v>
      </c>
      <c r="B370" s="1">
        <v>6864</v>
      </c>
      <c r="C370" s="1">
        <f t="shared" si="10"/>
        <v>3589</v>
      </c>
      <c r="D370">
        <v>3275</v>
      </c>
      <c r="E370">
        <v>11</v>
      </c>
      <c r="F370" t="s">
        <v>47</v>
      </c>
      <c r="G370" t="s">
        <v>48</v>
      </c>
      <c r="H370" t="s">
        <v>49</v>
      </c>
      <c r="I370" s="2">
        <v>44711</v>
      </c>
      <c r="J370" t="s">
        <v>452</v>
      </c>
      <c r="K370" t="s">
        <v>19</v>
      </c>
      <c r="L370" t="s">
        <v>36</v>
      </c>
      <c r="M370" t="s">
        <v>182</v>
      </c>
      <c r="N370" t="str">
        <f t="shared" si="11"/>
        <v>May</v>
      </c>
    </row>
    <row r="371" spans="1:14" x14ac:dyDescent="0.3">
      <c r="A371" t="s">
        <v>451</v>
      </c>
      <c r="B371" s="1">
        <v>9200</v>
      </c>
      <c r="C371" s="1">
        <f t="shared" si="10"/>
        <v>8391</v>
      </c>
      <c r="D371">
        <v>809</v>
      </c>
      <c r="E371">
        <v>13</v>
      </c>
      <c r="F371" t="s">
        <v>15</v>
      </c>
      <c r="G371" t="s">
        <v>41</v>
      </c>
      <c r="H371" t="s">
        <v>67</v>
      </c>
      <c r="I371" s="2">
        <v>44711</v>
      </c>
      <c r="J371" t="s">
        <v>452</v>
      </c>
      <c r="K371" t="s">
        <v>19</v>
      </c>
      <c r="L371" t="s">
        <v>36</v>
      </c>
      <c r="M371" t="s">
        <v>182</v>
      </c>
      <c r="N371" t="str">
        <f t="shared" si="11"/>
        <v>May</v>
      </c>
    </row>
    <row r="372" spans="1:14" x14ac:dyDescent="0.3">
      <c r="A372" t="s">
        <v>453</v>
      </c>
      <c r="B372" s="1">
        <v>6113</v>
      </c>
      <c r="C372" s="1">
        <f t="shared" si="10"/>
        <v>3605</v>
      </c>
      <c r="D372">
        <v>2508</v>
      </c>
      <c r="E372">
        <v>6</v>
      </c>
      <c r="F372" t="s">
        <v>15</v>
      </c>
      <c r="G372" t="s">
        <v>41</v>
      </c>
      <c r="H372" t="s">
        <v>17</v>
      </c>
      <c r="I372" s="2">
        <v>45459</v>
      </c>
      <c r="J372" t="s">
        <v>454</v>
      </c>
      <c r="K372" t="s">
        <v>19</v>
      </c>
      <c r="L372" t="s">
        <v>36</v>
      </c>
      <c r="M372" t="s">
        <v>264</v>
      </c>
      <c r="N372" t="str">
        <f t="shared" si="11"/>
        <v>June</v>
      </c>
    </row>
    <row r="373" spans="1:14" x14ac:dyDescent="0.3">
      <c r="A373" t="s">
        <v>453</v>
      </c>
      <c r="B373" s="1">
        <v>7733</v>
      </c>
      <c r="C373" s="1">
        <f t="shared" si="10"/>
        <v>4949</v>
      </c>
      <c r="D373">
        <v>2784</v>
      </c>
      <c r="E373">
        <v>15</v>
      </c>
      <c r="F373" t="s">
        <v>47</v>
      </c>
      <c r="G373" t="s">
        <v>48</v>
      </c>
      <c r="H373" t="s">
        <v>42</v>
      </c>
      <c r="I373" s="2">
        <v>45459</v>
      </c>
      <c r="J373" t="s">
        <v>454</v>
      </c>
      <c r="K373" t="s">
        <v>19</v>
      </c>
      <c r="L373" t="s">
        <v>36</v>
      </c>
      <c r="M373" t="s">
        <v>264</v>
      </c>
      <c r="N373" t="str">
        <f t="shared" si="11"/>
        <v>June</v>
      </c>
    </row>
    <row r="374" spans="1:14" x14ac:dyDescent="0.3">
      <c r="A374" t="s">
        <v>453</v>
      </c>
      <c r="B374" s="1">
        <v>8524</v>
      </c>
      <c r="C374" s="1">
        <f t="shared" si="10"/>
        <v>8370</v>
      </c>
      <c r="D374">
        <v>154</v>
      </c>
      <c r="E374">
        <v>14</v>
      </c>
      <c r="F374" t="s">
        <v>47</v>
      </c>
      <c r="G374" t="s">
        <v>48</v>
      </c>
      <c r="H374" t="s">
        <v>67</v>
      </c>
      <c r="I374" s="2">
        <v>45459</v>
      </c>
      <c r="J374" t="s">
        <v>454</v>
      </c>
      <c r="K374" t="s">
        <v>19</v>
      </c>
      <c r="L374" t="s">
        <v>36</v>
      </c>
      <c r="M374" t="s">
        <v>264</v>
      </c>
      <c r="N374" t="str">
        <f t="shared" si="11"/>
        <v>June</v>
      </c>
    </row>
    <row r="375" spans="1:14" x14ac:dyDescent="0.3">
      <c r="A375" t="s">
        <v>453</v>
      </c>
      <c r="B375" s="1">
        <v>6187</v>
      </c>
      <c r="C375" s="1">
        <f t="shared" si="10"/>
        <v>3843</v>
      </c>
      <c r="D375">
        <v>2344</v>
      </c>
      <c r="E375">
        <v>15</v>
      </c>
      <c r="F375" t="s">
        <v>47</v>
      </c>
      <c r="G375" t="s">
        <v>111</v>
      </c>
      <c r="H375" t="s">
        <v>42</v>
      </c>
      <c r="I375" s="2">
        <v>45459</v>
      </c>
      <c r="J375" t="s">
        <v>454</v>
      </c>
      <c r="K375" t="s">
        <v>19</v>
      </c>
      <c r="L375" t="s">
        <v>36</v>
      </c>
      <c r="M375" t="s">
        <v>264</v>
      </c>
      <c r="N375" t="str">
        <f t="shared" si="11"/>
        <v>June</v>
      </c>
    </row>
    <row r="376" spans="1:14" x14ac:dyDescent="0.3">
      <c r="A376" t="s">
        <v>455</v>
      </c>
      <c r="B376" s="1">
        <v>4364</v>
      </c>
      <c r="C376" s="1">
        <f t="shared" si="10"/>
        <v>4216</v>
      </c>
      <c r="D376">
        <v>148</v>
      </c>
      <c r="E376">
        <v>18</v>
      </c>
      <c r="F376" t="s">
        <v>47</v>
      </c>
      <c r="G376" t="s">
        <v>48</v>
      </c>
      <c r="H376" t="s">
        <v>42</v>
      </c>
      <c r="I376" s="2">
        <v>44757</v>
      </c>
      <c r="J376" t="s">
        <v>456</v>
      </c>
      <c r="K376" t="s">
        <v>100</v>
      </c>
      <c r="L376" t="s">
        <v>109</v>
      </c>
      <c r="M376" t="s">
        <v>420</v>
      </c>
      <c r="N376" t="str">
        <f t="shared" si="11"/>
        <v>July</v>
      </c>
    </row>
    <row r="377" spans="1:14" x14ac:dyDescent="0.3">
      <c r="A377" t="s">
        <v>455</v>
      </c>
      <c r="B377" s="1">
        <v>736</v>
      </c>
      <c r="C377" s="1">
        <f t="shared" si="10"/>
        <v>450</v>
      </c>
      <c r="D377">
        <v>286</v>
      </c>
      <c r="E377">
        <v>12</v>
      </c>
      <c r="F377" t="s">
        <v>32</v>
      </c>
      <c r="G377" t="s">
        <v>33</v>
      </c>
      <c r="H377" t="s">
        <v>42</v>
      </c>
      <c r="I377" s="2">
        <v>44757</v>
      </c>
      <c r="J377" t="s">
        <v>456</v>
      </c>
      <c r="K377" t="s">
        <v>100</v>
      </c>
      <c r="L377" t="s">
        <v>109</v>
      </c>
      <c r="M377" t="s">
        <v>420</v>
      </c>
      <c r="N377" t="str">
        <f t="shared" si="11"/>
        <v>July</v>
      </c>
    </row>
    <row r="378" spans="1:14" x14ac:dyDescent="0.3">
      <c r="A378" t="s">
        <v>457</v>
      </c>
      <c r="B378" s="1">
        <v>9905</v>
      </c>
      <c r="C378" s="1">
        <f t="shared" si="10"/>
        <v>9272</v>
      </c>
      <c r="D378">
        <v>633</v>
      </c>
      <c r="E378">
        <v>17</v>
      </c>
      <c r="F378" t="s">
        <v>32</v>
      </c>
      <c r="G378" t="s">
        <v>33</v>
      </c>
      <c r="H378" t="s">
        <v>42</v>
      </c>
      <c r="I378" s="2">
        <v>44395</v>
      </c>
      <c r="J378" t="s">
        <v>458</v>
      </c>
      <c r="K378" t="s">
        <v>73</v>
      </c>
      <c r="L378" t="s">
        <v>74</v>
      </c>
      <c r="M378" t="s">
        <v>29</v>
      </c>
      <c r="N378" t="str">
        <f t="shared" si="11"/>
        <v>July</v>
      </c>
    </row>
    <row r="379" spans="1:14" x14ac:dyDescent="0.3">
      <c r="A379" t="s">
        <v>457</v>
      </c>
      <c r="B379" s="1">
        <v>9905</v>
      </c>
      <c r="C379" s="1">
        <f t="shared" si="10"/>
        <v>9272</v>
      </c>
      <c r="D379">
        <v>633</v>
      </c>
      <c r="E379">
        <v>17</v>
      </c>
      <c r="F379" t="s">
        <v>32</v>
      </c>
      <c r="G379" t="s">
        <v>33</v>
      </c>
      <c r="H379" t="s">
        <v>42</v>
      </c>
      <c r="I379" s="2">
        <v>44471</v>
      </c>
      <c r="J379" t="s">
        <v>459</v>
      </c>
      <c r="K379" t="s">
        <v>19</v>
      </c>
      <c r="L379" t="s">
        <v>152</v>
      </c>
      <c r="M379" t="s">
        <v>39</v>
      </c>
      <c r="N379" t="str">
        <f t="shared" si="11"/>
        <v>October</v>
      </c>
    </row>
    <row r="380" spans="1:14" x14ac:dyDescent="0.3">
      <c r="A380" t="s">
        <v>460</v>
      </c>
      <c r="B380" s="1">
        <v>2493</v>
      </c>
      <c r="C380" s="1">
        <f t="shared" si="10"/>
        <v>1272</v>
      </c>
      <c r="D380">
        <v>1221</v>
      </c>
      <c r="E380">
        <v>9</v>
      </c>
      <c r="F380" t="s">
        <v>32</v>
      </c>
      <c r="G380" t="s">
        <v>66</v>
      </c>
      <c r="H380" t="s">
        <v>49</v>
      </c>
      <c r="I380" s="2">
        <v>45398</v>
      </c>
      <c r="J380" t="s">
        <v>461</v>
      </c>
      <c r="K380" t="s">
        <v>23</v>
      </c>
      <c r="L380" t="s">
        <v>65</v>
      </c>
      <c r="M380" t="s">
        <v>237</v>
      </c>
      <c r="N380" t="str">
        <f t="shared" si="11"/>
        <v>April</v>
      </c>
    </row>
    <row r="381" spans="1:14" x14ac:dyDescent="0.3">
      <c r="A381" t="s">
        <v>460</v>
      </c>
      <c r="B381" s="1">
        <v>9849</v>
      </c>
      <c r="C381" s="1">
        <f t="shared" si="10"/>
        <v>8886</v>
      </c>
      <c r="D381">
        <v>963</v>
      </c>
      <c r="E381">
        <v>1</v>
      </c>
      <c r="F381" t="s">
        <v>32</v>
      </c>
      <c r="G381" t="s">
        <v>33</v>
      </c>
      <c r="H381" t="s">
        <v>49</v>
      </c>
      <c r="I381" s="2">
        <v>45398</v>
      </c>
      <c r="J381" t="s">
        <v>461</v>
      </c>
      <c r="K381" t="s">
        <v>23</v>
      </c>
      <c r="L381" t="s">
        <v>65</v>
      </c>
      <c r="M381" t="s">
        <v>237</v>
      </c>
      <c r="N381" t="str">
        <f t="shared" si="11"/>
        <v>April</v>
      </c>
    </row>
    <row r="382" spans="1:14" x14ac:dyDescent="0.3">
      <c r="A382" t="s">
        <v>462</v>
      </c>
      <c r="B382" s="1">
        <v>3423</v>
      </c>
      <c r="C382" s="1">
        <f t="shared" si="10"/>
        <v>2619</v>
      </c>
      <c r="D382">
        <v>804</v>
      </c>
      <c r="E382">
        <v>4</v>
      </c>
      <c r="F382" t="s">
        <v>15</v>
      </c>
      <c r="G382" t="s">
        <v>30</v>
      </c>
      <c r="H382" t="s">
        <v>49</v>
      </c>
      <c r="I382" s="2">
        <v>44021</v>
      </c>
      <c r="J382" t="s">
        <v>463</v>
      </c>
      <c r="K382" t="s">
        <v>23</v>
      </c>
      <c r="L382" t="s">
        <v>174</v>
      </c>
      <c r="M382" t="s">
        <v>464</v>
      </c>
      <c r="N382" t="str">
        <f t="shared" si="11"/>
        <v>July</v>
      </c>
    </row>
    <row r="383" spans="1:14" x14ac:dyDescent="0.3">
      <c r="A383" t="s">
        <v>462</v>
      </c>
      <c r="B383" s="1">
        <v>3423</v>
      </c>
      <c r="C383" s="1">
        <f t="shared" si="10"/>
        <v>2619</v>
      </c>
      <c r="D383">
        <v>804</v>
      </c>
      <c r="E383">
        <v>4</v>
      </c>
      <c r="F383" t="s">
        <v>15</v>
      </c>
      <c r="G383" t="s">
        <v>30</v>
      </c>
      <c r="H383" t="s">
        <v>49</v>
      </c>
      <c r="I383" s="2">
        <v>44037</v>
      </c>
      <c r="J383" t="s">
        <v>465</v>
      </c>
      <c r="K383" t="s">
        <v>73</v>
      </c>
      <c r="L383" t="s">
        <v>74</v>
      </c>
      <c r="M383" t="s">
        <v>464</v>
      </c>
      <c r="N383" t="str">
        <f t="shared" si="11"/>
        <v>July</v>
      </c>
    </row>
    <row r="384" spans="1:14" x14ac:dyDescent="0.3">
      <c r="A384" t="s">
        <v>462</v>
      </c>
      <c r="B384" s="1">
        <v>3423</v>
      </c>
      <c r="C384" s="1">
        <f t="shared" si="10"/>
        <v>2619</v>
      </c>
      <c r="D384">
        <v>804</v>
      </c>
      <c r="E384">
        <v>4</v>
      </c>
      <c r="F384" t="s">
        <v>15</v>
      </c>
      <c r="G384" t="s">
        <v>30</v>
      </c>
      <c r="H384" t="s">
        <v>49</v>
      </c>
      <c r="I384" s="2">
        <v>45315</v>
      </c>
      <c r="J384" t="s">
        <v>466</v>
      </c>
      <c r="K384" t="s">
        <v>73</v>
      </c>
      <c r="L384" t="s">
        <v>88</v>
      </c>
      <c r="M384" t="s">
        <v>78</v>
      </c>
      <c r="N384" t="str">
        <f t="shared" si="11"/>
        <v>January</v>
      </c>
    </row>
    <row r="385" spans="1:14" x14ac:dyDescent="0.3">
      <c r="A385" t="s">
        <v>462</v>
      </c>
      <c r="B385" s="1">
        <v>3423</v>
      </c>
      <c r="C385" s="1">
        <f t="shared" si="10"/>
        <v>2619</v>
      </c>
      <c r="D385">
        <v>804</v>
      </c>
      <c r="E385">
        <v>4</v>
      </c>
      <c r="F385" t="s">
        <v>15</v>
      </c>
      <c r="G385" t="s">
        <v>30</v>
      </c>
      <c r="H385" t="s">
        <v>49</v>
      </c>
      <c r="I385" s="2">
        <v>43955</v>
      </c>
      <c r="J385" t="s">
        <v>467</v>
      </c>
      <c r="K385" t="s">
        <v>73</v>
      </c>
      <c r="L385" t="s">
        <v>74</v>
      </c>
      <c r="M385" t="s">
        <v>61</v>
      </c>
      <c r="N385" t="str">
        <f t="shared" si="11"/>
        <v>May</v>
      </c>
    </row>
    <row r="386" spans="1:14" x14ac:dyDescent="0.3">
      <c r="A386" t="s">
        <v>462</v>
      </c>
      <c r="B386" s="1">
        <v>3423</v>
      </c>
      <c r="C386" s="1">
        <f t="shared" ref="C386:C449" si="12">B386-D386</f>
        <v>2619</v>
      </c>
      <c r="D386">
        <v>804</v>
      </c>
      <c r="E386">
        <v>4</v>
      </c>
      <c r="F386" t="s">
        <v>15</v>
      </c>
      <c r="G386" t="s">
        <v>30</v>
      </c>
      <c r="H386" t="s">
        <v>49</v>
      </c>
      <c r="I386" s="2">
        <v>44513</v>
      </c>
      <c r="J386" t="s">
        <v>468</v>
      </c>
      <c r="K386" t="s">
        <v>100</v>
      </c>
      <c r="L386" t="s">
        <v>109</v>
      </c>
      <c r="M386" t="s">
        <v>177</v>
      </c>
      <c r="N386" t="str">
        <f t="shared" si="11"/>
        <v>November</v>
      </c>
    </row>
    <row r="387" spans="1:14" x14ac:dyDescent="0.3">
      <c r="A387" t="s">
        <v>469</v>
      </c>
      <c r="B387" s="1">
        <v>3900</v>
      </c>
      <c r="C387" s="1">
        <f t="shared" si="12"/>
        <v>3785</v>
      </c>
      <c r="D387">
        <v>115</v>
      </c>
      <c r="E387">
        <v>9</v>
      </c>
      <c r="F387" t="s">
        <v>47</v>
      </c>
      <c r="G387" t="s">
        <v>51</v>
      </c>
      <c r="H387" t="s">
        <v>67</v>
      </c>
      <c r="I387" s="2">
        <v>45206</v>
      </c>
      <c r="J387" t="s">
        <v>470</v>
      </c>
      <c r="K387" t="s">
        <v>23</v>
      </c>
      <c r="L387" t="s">
        <v>65</v>
      </c>
      <c r="M387" t="s">
        <v>444</v>
      </c>
      <c r="N387" t="str">
        <f t="shared" ref="N387:N450" si="13">TEXT(DATE(LEFT(M387,4),RIGHT(M387,2),1),"mmmm")</f>
        <v>October</v>
      </c>
    </row>
    <row r="388" spans="1:14" x14ac:dyDescent="0.3">
      <c r="A388" t="s">
        <v>471</v>
      </c>
      <c r="B388" s="1">
        <v>8568</v>
      </c>
      <c r="C388" s="1">
        <f t="shared" si="12"/>
        <v>6149</v>
      </c>
      <c r="D388">
        <v>2419</v>
      </c>
      <c r="E388">
        <v>11</v>
      </c>
      <c r="F388" t="s">
        <v>15</v>
      </c>
      <c r="G388" t="s">
        <v>16</v>
      </c>
      <c r="H388" t="s">
        <v>17</v>
      </c>
      <c r="I388" s="2">
        <v>44492</v>
      </c>
      <c r="J388" t="s">
        <v>472</v>
      </c>
      <c r="K388" t="s">
        <v>27</v>
      </c>
      <c r="L388" t="s">
        <v>70</v>
      </c>
      <c r="M388" t="s">
        <v>39</v>
      </c>
      <c r="N388" t="str">
        <f t="shared" si="13"/>
        <v>October</v>
      </c>
    </row>
    <row r="389" spans="1:14" x14ac:dyDescent="0.3">
      <c r="A389" t="s">
        <v>471</v>
      </c>
      <c r="B389" s="1">
        <v>3283</v>
      </c>
      <c r="C389" s="1">
        <f t="shared" si="12"/>
        <v>3212</v>
      </c>
      <c r="D389">
        <v>71</v>
      </c>
      <c r="E389">
        <v>6</v>
      </c>
      <c r="F389" t="s">
        <v>32</v>
      </c>
      <c r="G389" t="s">
        <v>33</v>
      </c>
      <c r="H389" t="s">
        <v>42</v>
      </c>
      <c r="I389" s="2">
        <v>44492</v>
      </c>
      <c r="J389" t="s">
        <v>472</v>
      </c>
      <c r="K389" t="s">
        <v>27</v>
      </c>
      <c r="L389" t="s">
        <v>70</v>
      </c>
      <c r="M389" t="s">
        <v>39</v>
      </c>
      <c r="N389" t="str">
        <f t="shared" si="13"/>
        <v>October</v>
      </c>
    </row>
    <row r="390" spans="1:14" x14ac:dyDescent="0.3">
      <c r="A390" t="s">
        <v>473</v>
      </c>
      <c r="B390" s="1">
        <v>7643</v>
      </c>
      <c r="C390" s="1">
        <f t="shared" si="12"/>
        <v>3923</v>
      </c>
      <c r="D390">
        <v>3720</v>
      </c>
      <c r="E390">
        <v>19</v>
      </c>
      <c r="F390" t="s">
        <v>15</v>
      </c>
      <c r="G390" t="s">
        <v>16</v>
      </c>
      <c r="H390" t="s">
        <v>42</v>
      </c>
      <c r="I390" s="2">
        <v>44760</v>
      </c>
      <c r="J390" t="s">
        <v>474</v>
      </c>
      <c r="K390" t="s">
        <v>73</v>
      </c>
      <c r="L390" t="s">
        <v>74</v>
      </c>
      <c r="M390" t="s">
        <v>420</v>
      </c>
      <c r="N390" t="str">
        <f t="shared" si="13"/>
        <v>July</v>
      </c>
    </row>
    <row r="391" spans="1:14" x14ac:dyDescent="0.3">
      <c r="A391" t="s">
        <v>475</v>
      </c>
      <c r="B391" s="1">
        <v>3461</v>
      </c>
      <c r="C391" s="1">
        <f t="shared" si="12"/>
        <v>1924</v>
      </c>
      <c r="D391">
        <v>1537</v>
      </c>
      <c r="E391">
        <v>15</v>
      </c>
      <c r="F391" t="s">
        <v>47</v>
      </c>
      <c r="G391" t="s">
        <v>62</v>
      </c>
      <c r="H391" t="s">
        <v>42</v>
      </c>
      <c r="I391" s="2">
        <v>45527</v>
      </c>
      <c r="J391" t="s">
        <v>476</v>
      </c>
      <c r="K391" t="s">
        <v>23</v>
      </c>
      <c r="L391" t="s">
        <v>24</v>
      </c>
      <c r="M391" t="s">
        <v>116</v>
      </c>
      <c r="N391" t="str">
        <f t="shared" si="13"/>
        <v>August</v>
      </c>
    </row>
    <row r="392" spans="1:14" x14ac:dyDescent="0.3">
      <c r="A392" t="s">
        <v>475</v>
      </c>
      <c r="B392" s="1">
        <v>5714</v>
      </c>
      <c r="C392" s="1">
        <f t="shared" si="12"/>
        <v>4276</v>
      </c>
      <c r="D392">
        <v>1438</v>
      </c>
      <c r="E392">
        <v>6</v>
      </c>
      <c r="F392" t="s">
        <v>15</v>
      </c>
      <c r="G392" t="s">
        <v>16</v>
      </c>
      <c r="H392" t="s">
        <v>49</v>
      </c>
      <c r="I392" s="2">
        <v>45527</v>
      </c>
      <c r="J392" t="s">
        <v>476</v>
      </c>
      <c r="K392" t="s">
        <v>23</v>
      </c>
      <c r="L392" t="s">
        <v>24</v>
      </c>
      <c r="M392" t="s">
        <v>116</v>
      </c>
      <c r="N392" t="str">
        <f t="shared" si="13"/>
        <v>August</v>
      </c>
    </row>
    <row r="393" spans="1:14" x14ac:dyDescent="0.3">
      <c r="A393" t="s">
        <v>475</v>
      </c>
      <c r="B393" s="1">
        <v>3853</v>
      </c>
      <c r="C393" s="1">
        <f t="shared" si="12"/>
        <v>2396</v>
      </c>
      <c r="D393">
        <v>1457</v>
      </c>
      <c r="E393">
        <v>10</v>
      </c>
      <c r="F393" t="s">
        <v>32</v>
      </c>
      <c r="G393" t="s">
        <v>80</v>
      </c>
      <c r="H393" t="s">
        <v>67</v>
      </c>
      <c r="I393" s="2">
        <v>45527</v>
      </c>
      <c r="J393" t="s">
        <v>476</v>
      </c>
      <c r="K393" t="s">
        <v>23</v>
      </c>
      <c r="L393" t="s">
        <v>24</v>
      </c>
      <c r="M393" t="s">
        <v>116</v>
      </c>
      <c r="N393" t="str">
        <f t="shared" si="13"/>
        <v>August</v>
      </c>
    </row>
    <row r="394" spans="1:14" x14ac:dyDescent="0.3">
      <c r="A394" t="s">
        <v>477</v>
      </c>
      <c r="B394" s="1">
        <v>6016</v>
      </c>
      <c r="C394" s="1">
        <f t="shared" si="12"/>
        <v>5585</v>
      </c>
      <c r="D394">
        <v>431</v>
      </c>
      <c r="E394">
        <v>20</v>
      </c>
      <c r="F394" t="s">
        <v>32</v>
      </c>
      <c r="G394" t="s">
        <v>33</v>
      </c>
      <c r="H394" t="s">
        <v>17</v>
      </c>
      <c r="I394" s="2">
        <v>44132</v>
      </c>
      <c r="J394" t="s">
        <v>478</v>
      </c>
      <c r="K394" t="s">
        <v>23</v>
      </c>
      <c r="L394" t="s">
        <v>24</v>
      </c>
      <c r="M394" t="s">
        <v>121</v>
      </c>
      <c r="N394" t="str">
        <f t="shared" si="13"/>
        <v>October</v>
      </c>
    </row>
    <row r="395" spans="1:14" x14ac:dyDescent="0.3">
      <c r="A395" t="s">
        <v>479</v>
      </c>
      <c r="B395" s="1">
        <v>1290</v>
      </c>
      <c r="C395" s="1">
        <f t="shared" si="12"/>
        <v>1086</v>
      </c>
      <c r="D395">
        <v>204</v>
      </c>
      <c r="E395">
        <v>12</v>
      </c>
      <c r="F395" t="s">
        <v>32</v>
      </c>
      <c r="G395" t="s">
        <v>59</v>
      </c>
      <c r="H395" t="s">
        <v>17</v>
      </c>
      <c r="I395" s="2">
        <v>45458</v>
      </c>
      <c r="J395" t="s">
        <v>480</v>
      </c>
      <c r="K395" t="s">
        <v>27</v>
      </c>
      <c r="L395" t="s">
        <v>28</v>
      </c>
      <c r="M395" t="s">
        <v>264</v>
      </c>
      <c r="N395" t="str">
        <f t="shared" si="13"/>
        <v>June</v>
      </c>
    </row>
    <row r="396" spans="1:14" x14ac:dyDescent="0.3">
      <c r="A396" t="s">
        <v>479</v>
      </c>
      <c r="B396" s="1">
        <v>1290</v>
      </c>
      <c r="C396" s="1">
        <f t="shared" si="12"/>
        <v>1086</v>
      </c>
      <c r="D396">
        <v>204</v>
      </c>
      <c r="E396">
        <v>12</v>
      </c>
      <c r="F396" t="s">
        <v>32</v>
      </c>
      <c r="G396" t="s">
        <v>59</v>
      </c>
      <c r="H396" t="s">
        <v>17</v>
      </c>
      <c r="I396" s="2">
        <v>45645</v>
      </c>
      <c r="J396" t="s">
        <v>481</v>
      </c>
      <c r="K396" t="s">
        <v>44</v>
      </c>
      <c r="L396" t="s">
        <v>94</v>
      </c>
      <c r="M396" t="s">
        <v>25</v>
      </c>
      <c r="N396" t="str">
        <f t="shared" si="13"/>
        <v>December</v>
      </c>
    </row>
    <row r="397" spans="1:14" x14ac:dyDescent="0.3">
      <c r="A397" t="s">
        <v>482</v>
      </c>
      <c r="B397" s="1">
        <v>4569</v>
      </c>
      <c r="C397" s="1">
        <f t="shared" si="12"/>
        <v>2876</v>
      </c>
      <c r="D397">
        <v>1693</v>
      </c>
      <c r="E397">
        <v>10</v>
      </c>
      <c r="F397" t="s">
        <v>15</v>
      </c>
      <c r="G397" t="s">
        <v>30</v>
      </c>
      <c r="H397" t="s">
        <v>17</v>
      </c>
      <c r="I397" s="2">
        <v>44078</v>
      </c>
      <c r="J397" t="s">
        <v>483</v>
      </c>
      <c r="K397" t="s">
        <v>23</v>
      </c>
      <c r="L397" t="s">
        <v>65</v>
      </c>
      <c r="M397" t="s">
        <v>391</v>
      </c>
      <c r="N397" t="str">
        <f t="shared" si="13"/>
        <v>September</v>
      </c>
    </row>
    <row r="398" spans="1:14" x14ac:dyDescent="0.3">
      <c r="A398" t="s">
        <v>484</v>
      </c>
      <c r="B398" s="1">
        <v>3083</v>
      </c>
      <c r="C398" s="1">
        <f t="shared" si="12"/>
        <v>1932</v>
      </c>
      <c r="D398">
        <v>1151</v>
      </c>
      <c r="E398">
        <v>16</v>
      </c>
      <c r="F398" t="s">
        <v>47</v>
      </c>
      <c r="G398" t="s">
        <v>111</v>
      </c>
      <c r="H398" t="s">
        <v>34</v>
      </c>
      <c r="I398" s="2">
        <v>44667</v>
      </c>
      <c r="J398" t="s">
        <v>485</v>
      </c>
      <c r="K398" t="s">
        <v>19</v>
      </c>
      <c r="L398" t="s">
        <v>36</v>
      </c>
      <c r="M398" t="s">
        <v>189</v>
      </c>
      <c r="N398" t="str">
        <f t="shared" si="13"/>
        <v>April</v>
      </c>
    </row>
    <row r="399" spans="1:14" x14ac:dyDescent="0.3">
      <c r="A399" t="s">
        <v>486</v>
      </c>
      <c r="B399" s="1">
        <v>3522</v>
      </c>
      <c r="C399" s="1">
        <f t="shared" si="12"/>
        <v>2624</v>
      </c>
      <c r="D399">
        <v>898</v>
      </c>
      <c r="E399">
        <v>15</v>
      </c>
      <c r="F399" t="s">
        <v>32</v>
      </c>
      <c r="G399" t="s">
        <v>33</v>
      </c>
      <c r="H399" t="s">
        <v>49</v>
      </c>
      <c r="I399" s="2">
        <v>45533</v>
      </c>
      <c r="J399" t="s">
        <v>487</v>
      </c>
      <c r="K399" t="s">
        <v>100</v>
      </c>
      <c r="L399" t="s">
        <v>119</v>
      </c>
      <c r="M399" t="s">
        <v>116</v>
      </c>
      <c r="N399" t="str">
        <f t="shared" si="13"/>
        <v>August</v>
      </c>
    </row>
    <row r="400" spans="1:14" x14ac:dyDescent="0.3">
      <c r="A400" t="s">
        <v>486</v>
      </c>
      <c r="B400" s="1">
        <v>3522</v>
      </c>
      <c r="C400" s="1">
        <f t="shared" si="12"/>
        <v>2624</v>
      </c>
      <c r="D400">
        <v>898</v>
      </c>
      <c r="E400">
        <v>15</v>
      </c>
      <c r="F400" t="s">
        <v>32</v>
      </c>
      <c r="G400" t="s">
        <v>33</v>
      </c>
      <c r="H400" t="s">
        <v>49</v>
      </c>
      <c r="I400" s="2">
        <v>44575</v>
      </c>
      <c r="J400" t="s">
        <v>488</v>
      </c>
      <c r="K400" t="s">
        <v>44</v>
      </c>
      <c r="L400" t="s">
        <v>45</v>
      </c>
      <c r="M400" t="s">
        <v>89</v>
      </c>
      <c r="N400" t="str">
        <f t="shared" si="13"/>
        <v>January</v>
      </c>
    </row>
    <row r="401" spans="1:14" x14ac:dyDescent="0.3">
      <c r="A401" t="s">
        <v>489</v>
      </c>
      <c r="B401" s="1">
        <v>7301</v>
      </c>
      <c r="C401" s="1">
        <f t="shared" si="12"/>
        <v>3699</v>
      </c>
      <c r="D401">
        <v>3602</v>
      </c>
      <c r="E401">
        <v>3</v>
      </c>
      <c r="F401" t="s">
        <v>32</v>
      </c>
      <c r="G401" t="s">
        <v>80</v>
      </c>
      <c r="H401" t="s">
        <v>34</v>
      </c>
      <c r="I401" s="2">
        <v>45389</v>
      </c>
      <c r="J401" t="s">
        <v>490</v>
      </c>
      <c r="K401" t="s">
        <v>73</v>
      </c>
      <c r="L401" t="s">
        <v>140</v>
      </c>
      <c r="M401" t="s">
        <v>237</v>
      </c>
      <c r="N401" t="str">
        <f t="shared" si="13"/>
        <v>April</v>
      </c>
    </row>
    <row r="402" spans="1:14" x14ac:dyDescent="0.3">
      <c r="A402" t="s">
        <v>491</v>
      </c>
      <c r="B402" s="1">
        <v>4462</v>
      </c>
      <c r="C402" s="1">
        <f t="shared" si="12"/>
        <v>4341</v>
      </c>
      <c r="D402">
        <v>121</v>
      </c>
      <c r="E402">
        <v>8</v>
      </c>
      <c r="F402" t="s">
        <v>15</v>
      </c>
      <c r="G402" t="s">
        <v>41</v>
      </c>
      <c r="H402" t="s">
        <v>67</v>
      </c>
      <c r="I402" s="2">
        <v>44675</v>
      </c>
      <c r="J402" t="s">
        <v>492</v>
      </c>
      <c r="K402" t="s">
        <v>23</v>
      </c>
      <c r="L402" t="s">
        <v>65</v>
      </c>
      <c r="M402" t="s">
        <v>189</v>
      </c>
      <c r="N402" t="str">
        <f t="shared" si="13"/>
        <v>April</v>
      </c>
    </row>
    <row r="403" spans="1:14" x14ac:dyDescent="0.3">
      <c r="A403" t="s">
        <v>491</v>
      </c>
      <c r="B403" s="1">
        <v>6212</v>
      </c>
      <c r="C403" s="1">
        <f t="shared" si="12"/>
        <v>4331</v>
      </c>
      <c r="D403">
        <v>1881</v>
      </c>
      <c r="E403">
        <v>17</v>
      </c>
      <c r="F403" t="s">
        <v>15</v>
      </c>
      <c r="G403" t="s">
        <v>84</v>
      </c>
      <c r="H403" t="s">
        <v>67</v>
      </c>
      <c r="I403" s="2">
        <v>44675</v>
      </c>
      <c r="J403" t="s">
        <v>492</v>
      </c>
      <c r="K403" t="s">
        <v>23</v>
      </c>
      <c r="L403" t="s">
        <v>65</v>
      </c>
      <c r="M403" t="s">
        <v>189</v>
      </c>
      <c r="N403" t="str">
        <f t="shared" si="13"/>
        <v>April</v>
      </c>
    </row>
    <row r="404" spans="1:14" x14ac:dyDescent="0.3">
      <c r="A404" t="s">
        <v>493</v>
      </c>
      <c r="B404" s="1">
        <v>4027</v>
      </c>
      <c r="C404" s="1">
        <f t="shared" si="12"/>
        <v>2641</v>
      </c>
      <c r="D404">
        <v>1386</v>
      </c>
      <c r="E404">
        <v>3</v>
      </c>
      <c r="F404" t="s">
        <v>47</v>
      </c>
      <c r="G404" t="s">
        <v>111</v>
      </c>
      <c r="H404" t="s">
        <v>42</v>
      </c>
      <c r="I404" s="2">
        <v>44070</v>
      </c>
      <c r="J404" t="s">
        <v>494</v>
      </c>
      <c r="K404" t="s">
        <v>19</v>
      </c>
      <c r="L404" t="s">
        <v>152</v>
      </c>
      <c r="M404" t="s">
        <v>187</v>
      </c>
      <c r="N404" t="str">
        <f t="shared" si="13"/>
        <v>August</v>
      </c>
    </row>
    <row r="405" spans="1:14" x14ac:dyDescent="0.3">
      <c r="A405" t="s">
        <v>495</v>
      </c>
      <c r="B405" s="1">
        <v>1676</v>
      </c>
      <c r="C405" s="1">
        <f t="shared" si="12"/>
        <v>1346</v>
      </c>
      <c r="D405">
        <v>330</v>
      </c>
      <c r="E405">
        <v>14</v>
      </c>
      <c r="F405" t="s">
        <v>15</v>
      </c>
      <c r="G405" t="s">
        <v>41</v>
      </c>
      <c r="H405" t="s">
        <v>42</v>
      </c>
      <c r="I405" s="2">
        <v>44986</v>
      </c>
      <c r="J405" t="s">
        <v>496</v>
      </c>
      <c r="K405" t="s">
        <v>100</v>
      </c>
      <c r="L405" t="s">
        <v>119</v>
      </c>
      <c r="M405" t="s">
        <v>247</v>
      </c>
      <c r="N405" t="str">
        <f t="shared" si="13"/>
        <v>March</v>
      </c>
    </row>
    <row r="406" spans="1:14" x14ac:dyDescent="0.3">
      <c r="A406" t="s">
        <v>495</v>
      </c>
      <c r="B406" s="1">
        <v>3927</v>
      </c>
      <c r="C406" s="1">
        <f t="shared" si="12"/>
        <v>2794</v>
      </c>
      <c r="D406">
        <v>1133</v>
      </c>
      <c r="E406">
        <v>12</v>
      </c>
      <c r="F406" t="s">
        <v>47</v>
      </c>
      <c r="G406" t="s">
        <v>111</v>
      </c>
      <c r="H406" t="s">
        <v>67</v>
      </c>
      <c r="I406" s="2">
        <v>44986</v>
      </c>
      <c r="J406" t="s">
        <v>496</v>
      </c>
      <c r="K406" t="s">
        <v>100</v>
      </c>
      <c r="L406" t="s">
        <v>119</v>
      </c>
      <c r="M406" t="s">
        <v>247</v>
      </c>
      <c r="N406" t="str">
        <f t="shared" si="13"/>
        <v>March</v>
      </c>
    </row>
    <row r="407" spans="1:14" x14ac:dyDescent="0.3">
      <c r="A407" t="s">
        <v>495</v>
      </c>
      <c r="B407" s="1">
        <v>2776</v>
      </c>
      <c r="C407" s="1">
        <f t="shared" si="12"/>
        <v>1889</v>
      </c>
      <c r="D407">
        <v>887</v>
      </c>
      <c r="E407">
        <v>9</v>
      </c>
      <c r="F407" t="s">
        <v>15</v>
      </c>
      <c r="G407" t="s">
        <v>84</v>
      </c>
      <c r="H407" t="s">
        <v>34</v>
      </c>
      <c r="I407" s="2">
        <v>44986</v>
      </c>
      <c r="J407" t="s">
        <v>496</v>
      </c>
      <c r="K407" t="s">
        <v>100</v>
      </c>
      <c r="L407" t="s">
        <v>119</v>
      </c>
      <c r="M407" t="s">
        <v>247</v>
      </c>
      <c r="N407" t="str">
        <f t="shared" si="13"/>
        <v>March</v>
      </c>
    </row>
    <row r="408" spans="1:14" x14ac:dyDescent="0.3">
      <c r="A408" t="s">
        <v>497</v>
      </c>
      <c r="B408" s="1">
        <v>7684</v>
      </c>
      <c r="C408" s="1">
        <f t="shared" si="12"/>
        <v>6527</v>
      </c>
      <c r="D408">
        <v>1157</v>
      </c>
      <c r="E408">
        <v>12</v>
      </c>
      <c r="F408" t="s">
        <v>47</v>
      </c>
      <c r="G408" t="s">
        <v>62</v>
      </c>
      <c r="H408" t="s">
        <v>67</v>
      </c>
      <c r="I408" s="2">
        <v>44106</v>
      </c>
      <c r="J408" t="s">
        <v>498</v>
      </c>
      <c r="K408" t="s">
        <v>23</v>
      </c>
      <c r="L408" t="s">
        <v>24</v>
      </c>
      <c r="M408" t="s">
        <v>121</v>
      </c>
      <c r="N408" t="str">
        <f t="shared" si="13"/>
        <v>October</v>
      </c>
    </row>
    <row r="409" spans="1:14" x14ac:dyDescent="0.3">
      <c r="A409" t="s">
        <v>497</v>
      </c>
      <c r="B409" s="1">
        <v>7684</v>
      </c>
      <c r="C409" s="1">
        <f t="shared" si="12"/>
        <v>6527</v>
      </c>
      <c r="D409">
        <v>1157</v>
      </c>
      <c r="E409">
        <v>12</v>
      </c>
      <c r="F409" t="s">
        <v>47</v>
      </c>
      <c r="G409" t="s">
        <v>62</v>
      </c>
      <c r="H409" t="s">
        <v>67</v>
      </c>
      <c r="I409" s="2">
        <v>44005</v>
      </c>
      <c r="J409" t="s">
        <v>499</v>
      </c>
      <c r="K409" t="s">
        <v>27</v>
      </c>
      <c r="L409" t="s">
        <v>28</v>
      </c>
      <c r="M409" t="s">
        <v>315</v>
      </c>
      <c r="N409" t="str">
        <f t="shared" si="13"/>
        <v>June</v>
      </c>
    </row>
    <row r="410" spans="1:14" x14ac:dyDescent="0.3">
      <c r="A410" t="s">
        <v>497</v>
      </c>
      <c r="B410" s="1">
        <v>7684</v>
      </c>
      <c r="C410" s="1">
        <f t="shared" si="12"/>
        <v>6527</v>
      </c>
      <c r="D410">
        <v>1157</v>
      </c>
      <c r="E410">
        <v>12</v>
      </c>
      <c r="F410" t="s">
        <v>47</v>
      </c>
      <c r="G410" t="s">
        <v>62</v>
      </c>
      <c r="H410" t="s">
        <v>67</v>
      </c>
      <c r="I410" s="2">
        <v>45159</v>
      </c>
      <c r="J410" t="s">
        <v>500</v>
      </c>
      <c r="K410" t="s">
        <v>100</v>
      </c>
      <c r="L410" t="s">
        <v>101</v>
      </c>
      <c r="M410" t="s">
        <v>123</v>
      </c>
      <c r="N410" t="str">
        <f t="shared" si="13"/>
        <v>August</v>
      </c>
    </row>
    <row r="411" spans="1:14" x14ac:dyDescent="0.3">
      <c r="A411" t="s">
        <v>501</v>
      </c>
      <c r="B411" s="1">
        <v>6008</v>
      </c>
      <c r="C411" s="1">
        <f t="shared" si="12"/>
        <v>3510</v>
      </c>
      <c r="D411">
        <v>2498</v>
      </c>
      <c r="E411">
        <v>17</v>
      </c>
      <c r="F411" t="s">
        <v>15</v>
      </c>
      <c r="G411" t="s">
        <v>84</v>
      </c>
      <c r="H411" t="s">
        <v>49</v>
      </c>
      <c r="I411" s="2">
        <v>44758</v>
      </c>
      <c r="J411" t="s">
        <v>502</v>
      </c>
      <c r="K411" t="s">
        <v>19</v>
      </c>
      <c r="L411" t="s">
        <v>20</v>
      </c>
      <c r="M411" t="s">
        <v>420</v>
      </c>
      <c r="N411" t="str">
        <f t="shared" si="13"/>
        <v>July</v>
      </c>
    </row>
    <row r="412" spans="1:14" x14ac:dyDescent="0.3">
      <c r="A412" t="s">
        <v>503</v>
      </c>
      <c r="B412" s="1">
        <v>7344</v>
      </c>
      <c r="C412" s="1">
        <f t="shared" si="12"/>
        <v>4746</v>
      </c>
      <c r="D412">
        <v>2598</v>
      </c>
      <c r="E412">
        <v>20</v>
      </c>
      <c r="F412" t="s">
        <v>47</v>
      </c>
      <c r="G412" t="s">
        <v>111</v>
      </c>
      <c r="H412" t="s">
        <v>67</v>
      </c>
      <c r="I412" s="2">
        <v>44774</v>
      </c>
      <c r="J412" t="s">
        <v>504</v>
      </c>
      <c r="K412" t="s">
        <v>73</v>
      </c>
      <c r="L412" t="s">
        <v>74</v>
      </c>
      <c r="M412" t="s">
        <v>211</v>
      </c>
      <c r="N412" t="str">
        <f t="shared" si="13"/>
        <v>August</v>
      </c>
    </row>
    <row r="413" spans="1:14" x14ac:dyDescent="0.3">
      <c r="A413" t="s">
        <v>505</v>
      </c>
      <c r="B413" s="1">
        <v>6932</v>
      </c>
      <c r="C413" s="1">
        <f t="shared" si="12"/>
        <v>3714</v>
      </c>
      <c r="D413">
        <v>3218</v>
      </c>
      <c r="E413">
        <v>20</v>
      </c>
      <c r="F413" t="s">
        <v>32</v>
      </c>
      <c r="G413" t="s">
        <v>33</v>
      </c>
      <c r="H413" t="s">
        <v>67</v>
      </c>
      <c r="I413" s="2">
        <v>44028</v>
      </c>
      <c r="J413" t="s">
        <v>506</v>
      </c>
      <c r="K413" t="s">
        <v>19</v>
      </c>
      <c r="L413" t="s">
        <v>36</v>
      </c>
      <c r="M413" t="s">
        <v>464</v>
      </c>
      <c r="N413" t="str">
        <f t="shared" si="13"/>
        <v>July</v>
      </c>
    </row>
    <row r="414" spans="1:14" x14ac:dyDescent="0.3">
      <c r="A414" t="s">
        <v>507</v>
      </c>
      <c r="B414" s="1">
        <v>7748</v>
      </c>
      <c r="C414" s="1">
        <f t="shared" si="12"/>
        <v>6042</v>
      </c>
      <c r="D414">
        <v>1706</v>
      </c>
      <c r="E414">
        <v>16</v>
      </c>
      <c r="F414" t="s">
        <v>15</v>
      </c>
      <c r="G414" t="s">
        <v>16</v>
      </c>
      <c r="H414" t="s">
        <v>42</v>
      </c>
      <c r="I414" s="2">
        <v>43953</v>
      </c>
      <c r="J414" t="s">
        <v>508</v>
      </c>
      <c r="K414" t="s">
        <v>100</v>
      </c>
      <c r="L414" t="s">
        <v>109</v>
      </c>
      <c r="M414" t="s">
        <v>61</v>
      </c>
      <c r="N414" t="str">
        <f t="shared" si="13"/>
        <v>May</v>
      </c>
    </row>
    <row r="415" spans="1:14" x14ac:dyDescent="0.3">
      <c r="A415" t="s">
        <v>507</v>
      </c>
      <c r="B415" s="1">
        <v>6381</v>
      </c>
      <c r="C415" s="1">
        <f t="shared" si="12"/>
        <v>3618</v>
      </c>
      <c r="D415">
        <v>2763</v>
      </c>
      <c r="E415">
        <v>20</v>
      </c>
      <c r="F415" t="s">
        <v>32</v>
      </c>
      <c r="G415" t="s">
        <v>59</v>
      </c>
      <c r="H415" t="s">
        <v>17</v>
      </c>
      <c r="I415" s="2">
        <v>43953</v>
      </c>
      <c r="J415" t="s">
        <v>508</v>
      </c>
      <c r="K415" t="s">
        <v>100</v>
      </c>
      <c r="L415" t="s">
        <v>109</v>
      </c>
      <c r="M415" t="s">
        <v>61</v>
      </c>
      <c r="N415" t="str">
        <f t="shared" si="13"/>
        <v>May</v>
      </c>
    </row>
    <row r="416" spans="1:14" x14ac:dyDescent="0.3">
      <c r="A416" t="s">
        <v>507</v>
      </c>
      <c r="B416" s="1">
        <v>992</v>
      </c>
      <c r="C416" s="1">
        <f t="shared" si="12"/>
        <v>928</v>
      </c>
      <c r="D416">
        <v>64</v>
      </c>
      <c r="E416">
        <v>6</v>
      </c>
      <c r="F416" t="s">
        <v>15</v>
      </c>
      <c r="G416" t="s">
        <v>84</v>
      </c>
      <c r="H416" t="s">
        <v>49</v>
      </c>
      <c r="I416" s="2">
        <v>43953</v>
      </c>
      <c r="J416" t="s">
        <v>508</v>
      </c>
      <c r="K416" t="s">
        <v>100</v>
      </c>
      <c r="L416" t="s">
        <v>109</v>
      </c>
      <c r="M416" t="s">
        <v>61</v>
      </c>
      <c r="N416" t="str">
        <f t="shared" si="13"/>
        <v>May</v>
      </c>
    </row>
    <row r="417" spans="1:14" x14ac:dyDescent="0.3">
      <c r="A417" t="s">
        <v>509</v>
      </c>
      <c r="B417" s="1">
        <v>8649</v>
      </c>
      <c r="C417" s="1">
        <f t="shared" si="12"/>
        <v>6018</v>
      </c>
      <c r="D417">
        <v>2631</v>
      </c>
      <c r="E417">
        <v>13</v>
      </c>
      <c r="F417" t="s">
        <v>15</v>
      </c>
      <c r="G417" t="s">
        <v>41</v>
      </c>
      <c r="H417" t="s">
        <v>42</v>
      </c>
      <c r="I417" s="2">
        <v>45301</v>
      </c>
      <c r="J417" t="s">
        <v>510</v>
      </c>
      <c r="K417" t="s">
        <v>44</v>
      </c>
      <c r="L417" t="s">
        <v>94</v>
      </c>
      <c r="M417" t="s">
        <v>78</v>
      </c>
      <c r="N417" t="str">
        <f t="shared" si="13"/>
        <v>January</v>
      </c>
    </row>
    <row r="418" spans="1:14" x14ac:dyDescent="0.3">
      <c r="A418" t="s">
        <v>509</v>
      </c>
      <c r="B418" s="1">
        <v>8649</v>
      </c>
      <c r="C418" s="1">
        <f t="shared" si="12"/>
        <v>6018</v>
      </c>
      <c r="D418">
        <v>2631</v>
      </c>
      <c r="E418">
        <v>13</v>
      </c>
      <c r="F418" t="s">
        <v>15</v>
      </c>
      <c r="G418" t="s">
        <v>41</v>
      </c>
      <c r="H418" t="s">
        <v>42</v>
      </c>
      <c r="I418" s="2">
        <v>44104</v>
      </c>
      <c r="J418" t="s">
        <v>511</v>
      </c>
      <c r="K418" t="s">
        <v>27</v>
      </c>
      <c r="L418" t="s">
        <v>70</v>
      </c>
      <c r="M418" t="s">
        <v>391</v>
      </c>
      <c r="N418" t="str">
        <f t="shared" si="13"/>
        <v>September</v>
      </c>
    </row>
    <row r="419" spans="1:14" x14ac:dyDescent="0.3">
      <c r="A419" t="s">
        <v>512</v>
      </c>
      <c r="B419" s="1">
        <v>4099</v>
      </c>
      <c r="C419" s="1">
        <f t="shared" si="12"/>
        <v>4047</v>
      </c>
      <c r="D419">
        <v>52</v>
      </c>
      <c r="E419">
        <v>18</v>
      </c>
      <c r="F419" t="s">
        <v>15</v>
      </c>
      <c r="G419" t="s">
        <v>41</v>
      </c>
      <c r="H419" t="s">
        <v>17</v>
      </c>
      <c r="I419" s="2">
        <v>44648</v>
      </c>
      <c r="J419" t="s">
        <v>513</v>
      </c>
      <c r="K419" t="s">
        <v>27</v>
      </c>
      <c r="L419" t="s">
        <v>53</v>
      </c>
      <c r="M419" t="s">
        <v>136</v>
      </c>
      <c r="N419" t="str">
        <f t="shared" si="13"/>
        <v>March</v>
      </c>
    </row>
    <row r="420" spans="1:14" x14ac:dyDescent="0.3">
      <c r="A420" t="s">
        <v>514</v>
      </c>
      <c r="B420" s="1">
        <v>2539</v>
      </c>
      <c r="C420" s="1">
        <f t="shared" si="12"/>
        <v>2215</v>
      </c>
      <c r="D420">
        <v>324</v>
      </c>
      <c r="E420">
        <v>5</v>
      </c>
      <c r="F420" t="s">
        <v>15</v>
      </c>
      <c r="G420" t="s">
        <v>16</v>
      </c>
      <c r="H420" t="s">
        <v>17</v>
      </c>
      <c r="I420" s="2">
        <v>44226</v>
      </c>
      <c r="J420" t="s">
        <v>515</v>
      </c>
      <c r="K420" t="s">
        <v>44</v>
      </c>
      <c r="L420" t="s">
        <v>94</v>
      </c>
      <c r="M420" t="s">
        <v>278</v>
      </c>
      <c r="N420" t="str">
        <f t="shared" si="13"/>
        <v>January</v>
      </c>
    </row>
    <row r="421" spans="1:14" x14ac:dyDescent="0.3">
      <c r="A421" t="s">
        <v>516</v>
      </c>
      <c r="B421" s="1">
        <v>9845</v>
      </c>
      <c r="C421" s="1">
        <f t="shared" si="12"/>
        <v>6783</v>
      </c>
      <c r="D421">
        <v>3062</v>
      </c>
      <c r="E421">
        <v>9</v>
      </c>
      <c r="F421" t="s">
        <v>32</v>
      </c>
      <c r="G421" t="s">
        <v>66</v>
      </c>
      <c r="H421" t="s">
        <v>67</v>
      </c>
      <c r="I421" s="2">
        <v>45730</v>
      </c>
      <c r="J421" t="s">
        <v>517</v>
      </c>
      <c r="K421" t="s">
        <v>19</v>
      </c>
      <c r="L421" t="s">
        <v>36</v>
      </c>
      <c r="M421" t="s">
        <v>159</v>
      </c>
      <c r="N421" t="str">
        <f t="shared" si="13"/>
        <v>March</v>
      </c>
    </row>
    <row r="422" spans="1:14" x14ac:dyDescent="0.3">
      <c r="A422" t="s">
        <v>518</v>
      </c>
      <c r="B422" s="1">
        <v>2901</v>
      </c>
      <c r="C422" s="1">
        <f t="shared" si="12"/>
        <v>1490</v>
      </c>
      <c r="D422">
        <v>1411</v>
      </c>
      <c r="E422">
        <v>2</v>
      </c>
      <c r="F422" t="s">
        <v>32</v>
      </c>
      <c r="G422" t="s">
        <v>66</v>
      </c>
      <c r="H422" t="s">
        <v>34</v>
      </c>
      <c r="I422" s="2">
        <v>44495</v>
      </c>
      <c r="J422" t="s">
        <v>519</v>
      </c>
      <c r="K422" t="s">
        <v>73</v>
      </c>
      <c r="L422" t="s">
        <v>88</v>
      </c>
      <c r="M422" t="s">
        <v>39</v>
      </c>
      <c r="N422" t="str">
        <f t="shared" si="13"/>
        <v>October</v>
      </c>
    </row>
    <row r="423" spans="1:14" x14ac:dyDescent="0.3">
      <c r="A423" t="s">
        <v>518</v>
      </c>
      <c r="B423" s="1">
        <v>2901</v>
      </c>
      <c r="C423" s="1">
        <f t="shared" si="12"/>
        <v>1490</v>
      </c>
      <c r="D423">
        <v>1411</v>
      </c>
      <c r="E423">
        <v>2</v>
      </c>
      <c r="F423" t="s">
        <v>32</v>
      </c>
      <c r="G423" t="s">
        <v>66</v>
      </c>
      <c r="H423" t="s">
        <v>34</v>
      </c>
      <c r="I423" s="2">
        <v>44937</v>
      </c>
      <c r="J423" t="s">
        <v>520</v>
      </c>
      <c r="K423" t="s">
        <v>44</v>
      </c>
      <c r="L423" t="s">
        <v>45</v>
      </c>
      <c r="M423" t="s">
        <v>335</v>
      </c>
      <c r="N423" t="str">
        <f t="shared" si="13"/>
        <v>January</v>
      </c>
    </row>
    <row r="424" spans="1:14" x14ac:dyDescent="0.3">
      <c r="A424" t="s">
        <v>518</v>
      </c>
      <c r="B424" s="1">
        <v>6934</v>
      </c>
      <c r="C424" s="1">
        <f t="shared" si="12"/>
        <v>5782</v>
      </c>
      <c r="D424">
        <v>1152</v>
      </c>
      <c r="E424">
        <v>6</v>
      </c>
      <c r="F424" t="s">
        <v>32</v>
      </c>
      <c r="G424" t="s">
        <v>33</v>
      </c>
      <c r="H424" t="s">
        <v>49</v>
      </c>
      <c r="I424" s="2">
        <v>44495</v>
      </c>
      <c r="J424" t="s">
        <v>519</v>
      </c>
      <c r="K424" t="s">
        <v>73</v>
      </c>
      <c r="L424" t="s">
        <v>88</v>
      </c>
      <c r="M424" t="s">
        <v>39</v>
      </c>
      <c r="N424" t="str">
        <f t="shared" si="13"/>
        <v>October</v>
      </c>
    </row>
    <row r="425" spans="1:14" x14ac:dyDescent="0.3">
      <c r="A425" t="s">
        <v>518</v>
      </c>
      <c r="B425" s="1">
        <v>6934</v>
      </c>
      <c r="C425" s="1">
        <f t="shared" si="12"/>
        <v>5782</v>
      </c>
      <c r="D425">
        <v>1152</v>
      </c>
      <c r="E425">
        <v>6</v>
      </c>
      <c r="F425" t="s">
        <v>32</v>
      </c>
      <c r="G425" t="s">
        <v>33</v>
      </c>
      <c r="H425" t="s">
        <v>49</v>
      </c>
      <c r="I425" s="2">
        <v>44937</v>
      </c>
      <c r="J425" t="s">
        <v>520</v>
      </c>
      <c r="K425" t="s">
        <v>44</v>
      </c>
      <c r="L425" t="s">
        <v>45</v>
      </c>
      <c r="M425" t="s">
        <v>335</v>
      </c>
      <c r="N425" t="str">
        <f t="shared" si="13"/>
        <v>January</v>
      </c>
    </row>
    <row r="426" spans="1:14" x14ac:dyDescent="0.3">
      <c r="A426" t="s">
        <v>521</v>
      </c>
      <c r="B426" s="1">
        <v>9640</v>
      </c>
      <c r="C426" s="1">
        <f t="shared" si="12"/>
        <v>7034</v>
      </c>
      <c r="D426">
        <v>2606</v>
      </c>
      <c r="E426">
        <v>2</v>
      </c>
      <c r="F426" t="s">
        <v>47</v>
      </c>
      <c r="G426" t="s">
        <v>111</v>
      </c>
      <c r="H426" t="s">
        <v>49</v>
      </c>
      <c r="I426" s="2">
        <v>44500</v>
      </c>
      <c r="J426" t="s">
        <v>522</v>
      </c>
      <c r="K426" t="s">
        <v>23</v>
      </c>
      <c r="L426" t="s">
        <v>174</v>
      </c>
      <c r="M426" t="s">
        <v>39</v>
      </c>
      <c r="N426" t="str">
        <f t="shared" si="13"/>
        <v>October</v>
      </c>
    </row>
    <row r="427" spans="1:14" x14ac:dyDescent="0.3">
      <c r="A427" t="s">
        <v>523</v>
      </c>
      <c r="B427" s="1">
        <v>7930</v>
      </c>
      <c r="C427" s="1">
        <f t="shared" si="12"/>
        <v>5949</v>
      </c>
      <c r="D427">
        <v>1981</v>
      </c>
      <c r="E427">
        <v>13</v>
      </c>
      <c r="F427" t="s">
        <v>47</v>
      </c>
      <c r="G427" t="s">
        <v>51</v>
      </c>
      <c r="H427" t="s">
        <v>49</v>
      </c>
      <c r="I427" s="2">
        <v>45050</v>
      </c>
      <c r="J427" t="s">
        <v>524</v>
      </c>
      <c r="K427" t="s">
        <v>100</v>
      </c>
      <c r="L427" t="s">
        <v>119</v>
      </c>
      <c r="M427" t="s">
        <v>129</v>
      </c>
      <c r="N427" t="str">
        <f t="shared" si="13"/>
        <v>May</v>
      </c>
    </row>
    <row r="428" spans="1:14" x14ac:dyDescent="0.3">
      <c r="A428" t="s">
        <v>523</v>
      </c>
      <c r="B428" s="1">
        <v>7930</v>
      </c>
      <c r="C428" s="1">
        <f t="shared" si="12"/>
        <v>5949</v>
      </c>
      <c r="D428">
        <v>1981</v>
      </c>
      <c r="E428">
        <v>13</v>
      </c>
      <c r="F428" t="s">
        <v>47</v>
      </c>
      <c r="G428" t="s">
        <v>51</v>
      </c>
      <c r="H428" t="s">
        <v>49</v>
      </c>
      <c r="I428" s="2">
        <v>45513</v>
      </c>
      <c r="J428" t="s">
        <v>525</v>
      </c>
      <c r="K428" t="s">
        <v>23</v>
      </c>
      <c r="L428" t="s">
        <v>65</v>
      </c>
      <c r="M428" t="s">
        <v>116</v>
      </c>
      <c r="N428" t="str">
        <f t="shared" si="13"/>
        <v>August</v>
      </c>
    </row>
    <row r="429" spans="1:14" x14ac:dyDescent="0.3">
      <c r="A429" t="s">
        <v>526</v>
      </c>
      <c r="B429" s="1">
        <v>9894</v>
      </c>
      <c r="C429" s="1">
        <f t="shared" si="12"/>
        <v>9065</v>
      </c>
      <c r="D429">
        <v>829</v>
      </c>
      <c r="E429">
        <v>1</v>
      </c>
      <c r="F429" t="s">
        <v>32</v>
      </c>
      <c r="G429" t="s">
        <v>80</v>
      </c>
      <c r="H429" t="s">
        <v>67</v>
      </c>
      <c r="I429" s="2">
        <v>44794</v>
      </c>
      <c r="J429" t="s">
        <v>527</v>
      </c>
      <c r="K429" t="s">
        <v>44</v>
      </c>
      <c r="L429" t="s">
        <v>77</v>
      </c>
      <c r="M429" t="s">
        <v>211</v>
      </c>
      <c r="N429" t="str">
        <f t="shared" si="13"/>
        <v>August</v>
      </c>
    </row>
    <row r="430" spans="1:14" x14ac:dyDescent="0.3">
      <c r="A430" t="s">
        <v>526</v>
      </c>
      <c r="B430" s="1">
        <v>4534</v>
      </c>
      <c r="C430" s="1">
        <f t="shared" si="12"/>
        <v>2299</v>
      </c>
      <c r="D430">
        <v>2235</v>
      </c>
      <c r="E430">
        <v>4</v>
      </c>
      <c r="F430" t="s">
        <v>47</v>
      </c>
      <c r="G430" t="s">
        <v>48</v>
      </c>
      <c r="H430" t="s">
        <v>67</v>
      </c>
      <c r="I430" s="2">
        <v>44794</v>
      </c>
      <c r="J430" t="s">
        <v>527</v>
      </c>
      <c r="K430" t="s">
        <v>44</v>
      </c>
      <c r="L430" t="s">
        <v>77</v>
      </c>
      <c r="M430" t="s">
        <v>211</v>
      </c>
      <c r="N430" t="str">
        <f t="shared" si="13"/>
        <v>August</v>
      </c>
    </row>
    <row r="431" spans="1:14" x14ac:dyDescent="0.3">
      <c r="A431" t="s">
        <v>528</v>
      </c>
      <c r="B431" s="1">
        <v>4911</v>
      </c>
      <c r="C431" s="1">
        <f t="shared" si="12"/>
        <v>4725</v>
      </c>
      <c r="D431">
        <v>186</v>
      </c>
      <c r="E431">
        <v>20</v>
      </c>
      <c r="F431" t="s">
        <v>15</v>
      </c>
      <c r="G431" t="s">
        <v>84</v>
      </c>
      <c r="H431" t="s">
        <v>34</v>
      </c>
      <c r="I431" s="2">
        <v>44731</v>
      </c>
      <c r="J431" t="s">
        <v>529</v>
      </c>
      <c r="K431" t="s">
        <v>27</v>
      </c>
      <c r="L431" t="s">
        <v>28</v>
      </c>
      <c r="M431" t="s">
        <v>167</v>
      </c>
      <c r="N431" t="str">
        <f t="shared" si="13"/>
        <v>June</v>
      </c>
    </row>
    <row r="432" spans="1:14" x14ac:dyDescent="0.3">
      <c r="A432" t="s">
        <v>528</v>
      </c>
      <c r="B432" s="1">
        <v>531</v>
      </c>
      <c r="C432" s="1">
        <f t="shared" si="12"/>
        <v>342</v>
      </c>
      <c r="D432">
        <v>189</v>
      </c>
      <c r="E432">
        <v>20</v>
      </c>
      <c r="F432" t="s">
        <v>47</v>
      </c>
      <c r="G432" t="s">
        <v>111</v>
      </c>
      <c r="H432" t="s">
        <v>34</v>
      </c>
      <c r="I432" s="2">
        <v>44731</v>
      </c>
      <c r="J432" t="s">
        <v>529</v>
      </c>
      <c r="K432" t="s">
        <v>27</v>
      </c>
      <c r="L432" t="s">
        <v>28</v>
      </c>
      <c r="M432" t="s">
        <v>167</v>
      </c>
      <c r="N432" t="str">
        <f t="shared" si="13"/>
        <v>June</v>
      </c>
    </row>
    <row r="433" spans="1:14" x14ac:dyDescent="0.3">
      <c r="A433" t="s">
        <v>530</v>
      </c>
      <c r="B433" s="1">
        <v>9707</v>
      </c>
      <c r="C433" s="1">
        <f t="shared" si="12"/>
        <v>6224</v>
      </c>
      <c r="D433">
        <v>3483</v>
      </c>
      <c r="E433">
        <v>10</v>
      </c>
      <c r="F433" t="s">
        <v>15</v>
      </c>
      <c r="G433" t="s">
        <v>16</v>
      </c>
      <c r="H433" t="s">
        <v>42</v>
      </c>
      <c r="I433" s="2">
        <v>45686</v>
      </c>
      <c r="J433" t="s">
        <v>531</v>
      </c>
      <c r="K433" t="s">
        <v>23</v>
      </c>
      <c r="L433" t="s">
        <v>174</v>
      </c>
      <c r="M433" t="s">
        <v>310</v>
      </c>
      <c r="N433" t="str">
        <f t="shared" si="13"/>
        <v>January</v>
      </c>
    </row>
    <row r="434" spans="1:14" x14ac:dyDescent="0.3">
      <c r="A434" t="s">
        <v>530</v>
      </c>
      <c r="B434" s="1">
        <v>8521</v>
      </c>
      <c r="C434" s="1">
        <f t="shared" si="12"/>
        <v>5937</v>
      </c>
      <c r="D434">
        <v>2584</v>
      </c>
      <c r="E434">
        <v>7</v>
      </c>
      <c r="F434" t="s">
        <v>32</v>
      </c>
      <c r="G434" t="s">
        <v>66</v>
      </c>
      <c r="H434" t="s">
        <v>67</v>
      </c>
      <c r="I434" s="2">
        <v>45686</v>
      </c>
      <c r="J434" t="s">
        <v>531</v>
      </c>
      <c r="K434" t="s">
        <v>23</v>
      </c>
      <c r="L434" t="s">
        <v>174</v>
      </c>
      <c r="M434" t="s">
        <v>310</v>
      </c>
      <c r="N434" t="str">
        <f t="shared" si="13"/>
        <v>January</v>
      </c>
    </row>
    <row r="435" spans="1:14" x14ac:dyDescent="0.3">
      <c r="A435" t="s">
        <v>532</v>
      </c>
      <c r="B435" s="1">
        <v>8438</v>
      </c>
      <c r="C435" s="1">
        <f t="shared" si="12"/>
        <v>5011</v>
      </c>
      <c r="D435">
        <v>3427</v>
      </c>
      <c r="E435">
        <v>12</v>
      </c>
      <c r="F435" t="s">
        <v>32</v>
      </c>
      <c r="G435" t="s">
        <v>80</v>
      </c>
      <c r="H435" t="s">
        <v>49</v>
      </c>
      <c r="I435" s="2">
        <v>44575</v>
      </c>
      <c r="J435" t="s">
        <v>533</v>
      </c>
      <c r="K435" t="s">
        <v>27</v>
      </c>
      <c r="L435" t="s">
        <v>28</v>
      </c>
      <c r="M435" t="s">
        <v>89</v>
      </c>
      <c r="N435" t="str">
        <f t="shared" si="13"/>
        <v>January</v>
      </c>
    </row>
    <row r="436" spans="1:14" x14ac:dyDescent="0.3">
      <c r="A436" t="s">
        <v>532</v>
      </c>
      <c r="B436" s="1">
        <v>1689</v>
      </c>
      <c r="C436" s="1">
        <f t="shared" si="12"/>
        <v>1580</v>
      </c>
      <c r="D436">
        <v>109</v>
      </c>
      <c r="E436">
        <v>9</v>
      </c>
      <c r="F436" t="s">
        <v>15</v>
      </c>
      <c r="G436" t="s">
        <v>16</v>
      </c>
      <c r="H436" t="s">
        <v>17</v>
      </c>
      <c r="I436" s="2">
        <v>44575</v>
      </c>
      <c r="J436" t="s">
        <v>533</v>
      </c>
      <c r="K436" t="s">
        <v>27</v>
      </c>
      <c r="L436" t="s">
        <v>28</v>
      </c>
      <c r="M436" t="s">
        <v>89</v>
      </c>
      <c r="N436" t="str">
        <f t="shared" si="13"/>
        <v>January</v>
      </c>
    </row>
    <row r="437" spans="1:14" x14ac:dyDescent="0.3">
      <c r="A437" t="s">
        <v>532</v>
      </c>
      <c r="B437" s="1">
        <v>3936</v>
      </c>
      <c r="C437" s="1">
        <f t="shared" si="12"/>
        <v>2310</v>
      </c>
      <c r="D437">
        <v>1626</v>
      </c>
      <c r="E437">
        <v>14</v>
      </c>
      <c r="F437" t="s">
        <v>32</v>
      </c>
      <c r="G437" t="s">
        <v>66</v>
      </c>
      <c r="H437" t="s">
        <v>67</v>
      </c>
      <c r="I437" s="2">
        <v>44575</v>
      </c>
      <c r="J437" t="s">
        <v>533</v>
      </c>
      <c r="K437" t="s">
        <v>27</v>
      </c>
      <c r="L437" t="s">
        <v>28</v>
      </c>
      <c r="M437" t="s">
        <v>89</v>
      </c>
      <c r="N437" t="str">
        <f t="shared" si="13"/>
        <v>January</v>
      </c>
    </row>
    <row r="438" spans="1:14" x14ac:dyDescent="0.3">
      <c r="A438" t="s">
        <v>534</v>
      </c>
      <c r="B438" s="1">
        <v>7664</v>
      </c>
      <c r="C438" s="1">
        <f t="shared" si="12"/>
        <v>5911</v>
      </c>
      <c r="D438">
        <v>1753</v>
      </c>
      <c r="E438">
        <v>19</v>
      </c>
      <c r="F438" t="s">
        <v>15</v>
      </c>
      <c r="G438" t="s">
        <v>84</v>
      </c>
      <c r="H438" t="s">
        <v>34</v>
      </c>
      <c r="I438" s="2">
        <v>45092</v>
      </c>
      <c r="J438" t="s">
        <v>535</v>
      </c>
      <c r="K438" t="s">
        <v>100</v>
      </c>
      <c r="L438" t="s">
        <v>109</v>
      </c>
      <c r="M438" t="s">
        <v>21</v>
      </c>
      <c r="N438" t="str">
        <f t="shared" si="13"/>
        <v>June</v>
      </c>
    </row>
    <row r="439" spans="1:14" x14ac:dyDescent="0.3">
      <c r="A439" t="s">
        <v>536</v>
      </c>
      <c r="B439" s="1">
        <v>721</v>
      </c>
      <c r="C439" s="1">
        <f t="shared" si="12"/>
        <v>463</v>
      </c>
      <c r="D439">
        <v>258</v>
      </c>
      <c r="E439">
        <v>13</v>
      </c>
      <c r="F439" t="s">
        <v>15</v>
      </c>
      <c r="G439" t="s">
        <v>41</v>
      </c>
      <c r="H439" t="s">
        <v>34</v>
      </c>
      <c r="I439" s="2">
        <v>45217</v>
      </c>
      <c r="J439" t="s">
        <v>537</v>
      </c>
      <c r="K439" t="s">
        <v>23</v>
      </c>
      <c r="L439" t="s">
        <v>174</v>
      </c>
      <c r="M439" t="s">
        <v>444</v>
      </c>
      <c r="N439" t="str">
        <f t="shared" si="13"/>
        <v>October</v>
      </c>
    </row>
    <row r="440" spans="1:14" x14ac:dyDescent="0.3">
      <c r="A440" t="s">
        <v>536</v>
      </c>
      <c r="B440" s="1">
        <v>721</v>
      </c>
      <c r="C440" s="1">
        <f t="shared" si="12"/>
        <v>463</v>
      </c>
      <c r="D440">
        <v>258</v>
      </c>
      <c r="E440">
        <v>13</v>
      </c>
      <c r="F440" t="s">
        <v>15</v>
      </c>
      <c r="G440" t="s">
        <v>41</v>
      </c>
      <c r="H440" t="s">
        <v>34</v>
      </c>
      <c r="I440" s="2">
        <v>44725</v>
      </c>
      <c r="J440" t="s">
        <v>538</v>
      </c>
      <c r="K440" t="s">
        <v>27</v>
      </c>
      <c r="L440" t="s">
        <v>28</v>
      </c>
      <c r="M440" t="s">
        <v>167</v>
      </c>
      <c r="N440" t="str">
        <f t="shared" si="13"/>
        <v>June</v>
      </c>
    </row>
    <row r="441" spans="1:14" x14ac:dyDescent="0.3">
      <c r="A441" t="s">
        <v>536</v>
      </c>
      <c r="B441" s="1">
        <v>8364</v>
      </c>
      <c r="C441" s="1">
        <f t="shared" si="12"/>
        <v>5309</v>
      </c>
      <c r="D441">
        <v>3055</v>
      </c>
      <c r="E441">
        <v>17</v>
      </c>
      <c r="F441" t="s">
        <v>15</v>
      </c>
      <c r="G441" t="s">
        <v>41</v>
      </c>
      <c r="H441" t="s">
        <v>49</v>
      </c>
      <c r="I441" s="2">
        <v>45217</v>
      </c>
      <c r="J441" t="s">
        <v>537</v>
      </c>
      <c r="K441" t="s">
        <v>23</v>
      </c>
      <c r="L441" t="s">
        <v>174</v>
      </c>
      <c r="M441" t="s">
        <v>444</v>
      </c>
      <c r="N441" t="str">
        <f t="shared" si="13"/>
        <v>October</v>
      </c>
    </row>
    <row r="442" spans="1:14" x14ac:dyDescent="0.3">
      <c r="A442" t="s">
        <v>536</v>
      </c>
      <c r="B442" s="1">
        <v>8364</v>
      </c>
      <c r="C442" s="1">
        <f t="shared" si="12"/>
        <v>5309</v>
      </c>
      <c r="D442">
        <v>3055</v>
      </c>
      <c r="E442">
        <v>17</v>
      </c>
      <c r="F442" t="s">
        <v>15</v>
      </c>
      <c r="G442" t="s">
        <v>41</v>
      </c>
      <c r="H442" t="s">
        <v>49</v>
      </c>
      <c r="I442" s="2">
        <v>44725</v>
      </c>
      <c r="J442" t="s">
        <v>538</v>
      </c>
      <c r="K442" t="s">
        <v>27</v>
      </c>
      <c r="L442" t="s">
        <v>28</v>
      </c>
      <c r="M442" t="s">
        <v>167</v>
      </c>
      <c r="N442" t="str">
        <f t="shared" si="13"/>
        <v>June</v>
      </c>
    </row>
    <row r="443" spans="1:14" x14ac:dyDescent="0.3">
      <c r="A443" t="s">
        <v>536</v>
      </c>
      <c r="B443" s="1">
        <v>5234</v>
      </c>
      <c r="C443" s="1">
        <f t="shared" si="12"/>
        <v>3213</v>
      </c>
      <c r="D443">
        <v>2021</v>
      </c>
      <c r="E443">
        <v>15</v>
      </c>
      <c r="F443" t="s">
        <v>47</v>
      </c>
      <c r="G443" t="s">
        <v>111</v>
      </c>
      <c r="H443" t="s">
        <v>42</v>
      </c>
      <c r="I443" s="2">
        <v>45217</v>
      </c>
      <c r="J443" t="s">
        <v>537</v>
      </c>
      <c r="K443" t="s">
        <v>23</v>
      </c>
      <c r="L443" t="s">
        <v>174</v>
      </c>
      <c r="M443" t="s">
        <v>444</v>
      </c>
      <c r="N443" t="str">
        <f t="shared" si="13"/>
        <v>October</v>
      </c>
    </row>
    <row r="444" spans="1:14" x14ac:dyDescent="0.3">
      <c r="A444" t="s">
        <v>536</v>
      </c>
      <c r="B444" s="1">
        <v>5234</v>
      </c>
      <c r="C444" s="1">
        <f t="shared" si="12"/>
        <v>3213</v>
      </c>
      <c r="D444">
        <v>2021</v>
      </c>
      <c r="E444">
        <v>15</v>
      </c>
      <c r="F444" t="s">
        <v>47</v>
      </c>
      <c r="G444" t="s">
        <v>111</v>
      </c>
      <c r="H444" t="s">
        <v>42</v>
      </c>
      <c r="I444" s="2">
        <v>44725</v>
      </c>
      <c r="J444" t="s">
        <v>538</v>
      </c>
      <c r="K444" t="s">
        <v>27</v>
      </c>
      <c r="L444" t="s">
        <v>28</v>
      </c>
      <c r="M444" t="s">
        <v>167</v>
      </c>
      <c r="N444" t="str">
        <f t="shared" si="13"/>
        <v>June</v>
      </c>
    </row>
    <row r="445" spans="1:14" x14ac:dyDescent="0.3">
      <c r="A445" t="s">
        <v>539</v>
      </c>
      <c r="B445" s="1">
        <v>3944</v>
      </c>
      <c r="C445" s="1">
        <f t="shared" si="12"/>
        <v>2385</v>
      </c>
      <c r="D445">
        <v>1559</v>
      </c>
      <c r="E445">
        <v>18</v>
      </c>
      <c r="F445" t="s">
        <v>15</v>
      </c>
      <c r="G445" t="s">
        <v>84</v>
      </c>
      <c r="H445" t="s">
        <v>49</v>
      </c>
      <c r="I445" s="2">
        <v>45455</v>
      </c>
      <c r="J445" t="s">
        <v>540</v>
      </c>
      <c r="K445" t="s">
        <v>44</v>
      </c>
      <c r="L445" t="s">
        <v>94</v>
      </c>
      <c r="M445" t="s">
        <v>264</v>
      </c>
      <c r="N445" t="str">
        <f t="shared" si="13"/>
        <v>June</v>
      </c>
    </row>
    <row r="446" spans="1:14" x14ac:dyDescent="0.3">
      <c r="A446" t="s">
        <v>539</v>
      </c>
      <c r="B446" s="1">
        <v>6711</v>
      </c>
      <c r="C446" s="1">
        <f t="shared" si="12"/>
        <v>5666</v>
      </c>
      <c r="D446">
        <v>1045</v>
      </c>
      <c r="E446">
        <v>12</v>
      </c>
      <c r="F446" t="s">
        <v>32</v>
      </c>
      <c r="G446" t="s">
        <v>33</v>
      </c>
      <c r="H446" t="s">
        <v>49</v>
      </c>
      <c r="I446" s="2">
        <v>45455</v>
      </c>
      <c r="J446" t="s">
        <v>540</v>
      </c>
      <c r="K446" t="s">
        <v>44</v>
      </c>
      <c r="L446" t="s">
        <v>94</v>
      </c>
      <c r="M446" t="s">
        <v>264</v>
      </c>
      <c r="N446" t="str">
        <f t="shared" si="13"/>
        <v>June</v>
      </c>
    </row>
    <row r="447" spans="1:14" x14ac:dyDescent="0.3">
      <c r="A447" t="s">
        <v>539</v>
      </c>
      <c r="B447" s="1">
        <v>5031</v>
      </c>
      <c r="C447" s="1">
        <f t="shared" si="12"/>
        <v>4317</v>
      </c>
      <c r="D447">
        <v>714</v>
      </c>
      <c r="E447">
        <v>4</v>
      </c>
      <c r="F447" t="s">
        <v>47</v>
      </c>
      <c r="G447" t="s">
        <v>48</v>
      </c>
      <c r="H447" t="s">
        <v>49</v>
      </c>
      <c r="I447" s="2">
        <v>45455</v>
      </c>
      <c r="J447" t="s">
        <v>540</v>
      </c>
      <c r="K447" t="s">
        <v>44</v>
      </c>
      <c r="L447" t="s">
        <v>94</v>
      </c>
      <c r="M447" t="s">
        <v>264</v>
      </c>
      <c r="N447" t="str">
        <f t="shared" si="13"/>
        <v>June</v>
      </c>
    </row>
    <row r="448" spans="1:14" x14ac:dyDescent="0.3">
      <c r="A448" t="s">
        <v>539</v>
      </c>
      <c r="B448" s="1">
        <v>6295</v>
      </c>
      <c r="C448" s="1">
        <f t="shared" si="12"/>
        <v>3826</v>
      </c>
      <c r="D448">
        <v>2469</v>
      </c>
      <c r="E448">
        <v>14</v>
      </c>
      <c r="F448" t="s">
        <v>32</v>
      </c>
      <c r="G448" t="s">
        <v>80</v>
      </c>
      <c r="H448" t="s">
        <v>42</v>
      </c>
      <c r="I448" s="2">
        <v>45455</v>
      </c>
      <c r="J448" t="s">
        <v>540</v>
      </c>
      <c r="K448" t="s">
        <v>44</v>
      </c>
      <c r="L448" t="s">
        <v>94</v>
      </c>
      <c r="M448" t="s">
        <v>264</v>
      </c>
      <c r="N448" t="str">
        <f t="shared" si="13"/>
        <v>June</v>
      </c>
    </row>
    <row r="449" spans="1:14" x14ac:dyDescent="0.3">
      <c r="A449" t="s">
        <v>541</v>
      </c>
      <c r="B449" s="1">
        <v>9654</v>
      </c>
      <c r="C449" s="1">
        <f t="shared" si="12"/>
        <v>5543</v>
      </c>
      <c r="D449">
        <v>4111</v>
      </c>
      <c r="E449">
        <v>1</v>
      </c>
      <c r="F449" t="s">
        <v>32</v>
      </c>
      <c r="G449" t="s">
        <v>66</v>
      </c>
      <c r="H449" t="s">
        <v>17</v>
      </c>
      <c r="I449" s="2">
        <v>44739</v>
      </c>
      <c r="J449" t="s">
        <v>542</v>
      </c>
      <c r="K449" t="s">
        <v>44</v>
      </c>
      <c r="L449" t="s">
        <v>94</v>
      </c>
      <c r="M449" t="s">
        <v>167</v>
      </c>
      <c r="N449" t="str">
        <f t="shared" si="13"/>
        <v>June</v>
      </c>
    </row>
    <row r="450" spans="1:14" x14ac:dyDescent="0.3">
      <c r="A450" t="s">
        <v>541</v>
      </c>
      <c r="B450" s="1">
        <v>3112</v>
      </c>
      <c r="C450" s="1">
        <f t="shared" ref="C450:C513" si="14">B450-D450</f>
        <v>2047</v>
      </c>
      <c r="D450">
        <v>1065</v>
      </c>
      <c r="E450">
        <v>20</v>
      </c>
      <c r="F450" t="s">
        <v>32</v>
      </c>
      <c r="G450" t="s">
        <v>80</v>
      </c>
      <c r="H450" t="s">
        <v>67</v>
      </c>
      <c r="I450" s="2">
        <v>44739</v>
      </c>
      <c r="J450" t="s">
        <v>542</v>
      </c>
      <c r="K450" t="s">
        <v>44</v>
      </c>
      <c r="L450" t="s">
        <v>94</v>
      </c>
      <c r="M450" t="s">
        <v>167</v>
      </c>
      <c r="N450" t="str">
        <f t="shared" si="13"/>
        <v>June</v>
      </c>
    </row>
    <row r="451" spans="1:14" x14ac:dyDescent="0.3">
      <c r="A451" t="s">
        <v>543</v>
      </c>
      <c r="B451" s="1">
        <v>7838</v>
      </c>
      <c r="C451" s="1">
        <f t="shared" si="14"/>
        <v>6696</v>
      </c>
      <c r="D451">
        <v>1142</v>
      </c>
      <c r="E451">
        <v>13</v>
      </c>
      <c r="F451" t="s">
        <v>15</v>
      </c>
      <c r="G451" t="s">
        <v>84</v>
      </c>
      <c r="H451" t="s">
        <v>17</v>
      </c>
      <c r="I451" s="2">
        <v>44245</v>
      </c>
      <c r="J451" t="s">
        <v>544</v>
      </c>
      <c r="K451" t="s">
        <v>44</v>
      </c>
      <c r="L451" t="s">
        <v>94</v>
      </c>
      <c r="M451" t="s">
        <v>294</v>
      </c>
      <c r="N451" t="str">
        <f t="shared" ref="N451:N514" si="15">TEXT(DATE(LEFT(M451,4),RIGHT(M451,2),1),"mmmm")</f>
        <v>February</v>
      </c>
    </row>
    <row r="452" spans="1:14" x14ac:dyDescent="0.3">
      <c r="A452" t="s">
        <v>543</v>
      </c>
      <c r="B452" s="1">
        <v>9300</v>
      </c>
      <c r="C452" s="1">
        <f t="shared" si="14"/>
        <v>6154</v>
      </c>
      <c r="D452">
        <v>3146</v>
      </c>
      <c r="E452">
        <v>6</v>
      </c>
      <c r="F452" t="s">
        <v>15</v>
      </c>
      <c r="G452" t="s">
        <v>84</v>
      </c>
      <c r="H452" t="s">
        <v>49</v>
      </c>
      <c r="I452" s="2">
        <v>44245</v>
      </c>
      <c r="J452" t="s">
        <v>544</v>
      </c>
      <c r="K452" t="s">
        <v>44</v>
      </c>
      <c r="L452" t="s">
        <v>94</v>
      </c>
      <c r="M452" t="s">
        <v>294</v>
      </c>
      <c r="N452" t="str">
        <f t="shared" si="15"/>
        <v>February</v>
      </c>
    </row>
    <row r="453" spans="1:14" x14ac:dyDescent="0.3">
      <c r="A453" t="s">
        <v>543</v>
      </c>
      <c r="B453" s="1">
        <v>1733</v>
      </c>
      <c r="C453" s="1">
        <f t="shared" si="14"/>
        <v>1600</v>
      </c>
      <c r="D453">
        <v>133</v>
      </c>
      <c r="E453">
        <v>17</v>
      </c>
      <c r="F453" t="s">
        <v>32</v>
      </c>
      <c r="G453" t="s">
        <v>66</v>
      </c>
      <c r="H453" t="s">
        <v>34</v>
      </c>
      <c r="I453" s="2">
        <v>44245</v>
      </c>
      <c r="J453" t="s">
        <v>544</v>
      </c>
      <c r="K453" t="s">
        <v>44</v>
      </c>
      <c r="L453" t="s">
        <v>94</v>
      </c>
      <c r="M453" t="s">
        <v>294</v>
      </c>
      <c r="N453" t="str">
        <f t="shared" si="15"/>
        <v>February</v>
      </c>
    </row>
    <row r="454" spans="1:14" x14ac:dyDescent="0.3">
      <c r="A454" t="s">
        <v>545</v>
      </c>
      <c r="B454" s="1">
        <v>874</v>
      </c>
      <c r="C454" s="1">
        <f t="shared" si="14"/>
        <v>639</v>
      </c>
      <c r="D454">
        <v>235</v>
      </c>
      <c r="E454">
        <v>15</v>
      </c>
      <c r="F454" t="s">
        <v>32</v>
      </c>
      <c r="G454" t="s">
        <v>80</v>
      </c>
      <c r="H454" t="s">
        <v>34</v>
      </c>
      <c r="I454" s="2">
        <v>45075</v>
      </c>
      <c r="J454" t="s">
        <v>546</v>
      </c>
      <c r="K454" t="s">
        <v>27</v>
      </c>
      <c r="L454" t="s">
        <v>70</v>
      </c>
      <c r="M454" t="s">
        <v>129</v>
      </c>
      <c r="N454" t="str">
        <f t="shared" si="15"/>
        <v>May</v>
      </c>
    </row>
    <row r="455" spans="1:14" x14ac:dyDescent="0.3">
      <c r="A455" t="s">
        <v>545</v>
      </c>
      <c r="B455" s="1">
        <v>874</v>
      </c>
      <c r="C455" s="1">
        <f t="shared" si="14"/>
        <v>639</v>
      </c>
      <c r="D455">
        <v>235</v>
      </c>
      <c r="E455">
        <v>15</v>
      </c>
      <c r="F455" t="s">
        <v>32</v>
      </c>
      <c r="G455" t="s">
        <v>80</v>
      </c>
      <c r="H455" t="s">
        <v>34</v>
      </c>
      <c r="I455" s="2">
        <v>44351</v>
      </c>
      <c r="J455" t="s">
        <v>547</v>
      </c>
      <c r="K455" t="s">
        <v>19</v>
      </c>
      <c r="L455" t="s">
        <v>20</v>
      </c>
      <c r="M455" t="s">
        <v>127</v>
      </c>
      <c r="N455" t="str">
        <f t="shared" si="15"/>
        <v>June</v>
      </c>
    </row>
    <row r="456" spans="1:14" x14ac:dyDescent="0.3">
      <c r="A456" t="s">
        <v>548</v>
      </c>
      <c r="B456" s="1">
        <v>1248</v>
      </c>
      <c r="C456" s="1">
        <f t="shared" si="14"/>
        <v>664</v>
      </c>
      <c r="D456">
        <v>584</v>
      </c>
      <c r="E456">
        <v>13</v>
      </c>
      <c r="F456" t="s">
        <v>32</v>
      </c>
      <c r="G456" t="s">
        <v>33</v>
      </c>
      <c r="H456" t="s">
        <v>42</v>
      </c>
      <c r="I456" s="2">
        <v>45313</v>
      </c>
      <c r="J456" t="s">
        <v>549</v>
      </c>
      <c r="K456" t="s">
        <v>100</v>
      </c>
      <c r="L456" t="s">
        <v>101</v>
      </c>
      <c r="M456" t="s">
        <v>78</v>
      </c>
      <c r="N456" t="str">
        <f t="shared" si="15"/>
        <v>January</v>
      </c>
    </row>
    <row r="457" spans="1:14" x14ac:dyDescent="0.3">
      <c r="A457" t="s">
        <v>548</v>
      </c>
      <c r="B457" s="1">
        <v>1248</v>
      </c>
      <c r="C457" s="1">
        <f t="shared" si="14"/>
        <v>664</v>
      </c>
      <c r="D457">
        <v>584</v>
      </c>
      <c r="E457">
        <v>13</v>
      </c>
      <c r="F457" t="s">
        <v>32</v>
      </c>
      <c r="G457" t="s">
        <v>33</v>
      </c>
      <c r="H457" t="s">
        <v>42</v>
      </c>
      <c r="I457" s="2">
        <v>44922</v>
      </c>
      <c r="J457" t="s">
        <v>550</v>
      </c>
      <c r="K457" t="s">
        <v>44</v>
      </c>
      <c r="L457" t="s">
        <v>94</v>
      </c>
      <c r="M457" t="s">
        <v>154</v>
      </c>
      <c r="N457" t="str">
        <f t="shared" si="15"/>
        <v>December</v>
      </c>
    </row>
    <row r="458" spans="1:14" x14ac:dyDescent="0.3">
      <c r="A458" t="s">
        <v>548</v>
      </c>
      <c r="B458" s="1">
        <v>3669</v>
      </c>
      <c r="C458" s="1">
        <f t="shared" si="14"/>
        <v>3515</v>
      </c>
      <c r="D458">
        <v>154</v>
      </c>
      <c r="E458">
        <v>14</v>
      </c>
      <c r="F458" t="s">
        <v>32</v>
      </c>
      <c r="G458" t="s">
        <v>59</v>
      </c>
      <c r="H458" t="s">
        <v>42</v>
      </c>
      <c r="I458" s="2">
        <v>45313</v>
      </c>
      <c r="J458" t="s">
        <v>549</v>
      </c>
      <c r="K458" t="s">
        <v>100</v>
      </c>
      <c r="L458" t="s">
        <v>101</v>
      </c>
      <c r="M458" t="s">
        <v>78</v>
      </c>
      <c r="N458" t="str">
        <f t="shared" si="15"/>
        <v>January</v>
      </c>
    </row>
    <row r="459" spans="1:14" x14ac:dyDescent="0.3">
      <c r="A459" t="s">
        <v>548</v>
      </c>
      <c r="B459" s="1">
        <v>3669</v>
      </c>
      <c r="C459" s="1">
        <f t="shared" si="14"/>
        <v>3515</v>
      </c>
      <c r="D459">
        <v>154</v>
      </c>
      <c r="E459">
        <v>14</v>
      </c>
      <c r="F459" t="s">
        <v>32</v>
      </c>
      <c r="G459" t="s">
        <v>59</v>
      </c>
      <c r="H459" t="s">
        <v>42</v>
      </c>
      <c r="I459" s="2">
        <v>44922</v>
      </c>
      <c r="J459" t="s">
        <v>550</v>
      </c>
      <c r="K459" t="s">
        <v>44</v>
      </c>
      <c r="L459" t="s">
        <v>94</v>
      </c>
      <c r="M459" t="s">
        <v>154</v>
      </c>
      <c r="N459" t="str">
        <f t="shared" si="15"/>
        <v>December</v>
      </c>
    </row>
    <row r="460" spans="1:14" x14ac:dyDescent="0.3">
      <c r="A460" t="s">
        <v>548</v>
      </c>
      <c r="B460" s="1">
        <v>514</v>
      </c>
      <c r="C460" s="1">
        <f t="shared" si="14"/>
        <v>405</v>
      </c>
      <c r="D460">
        <v>109</v>
      </c>
      <c r="E460">
        <v>15</v>
      </c>
      <c r="F460" t="s">
        <v>32</v>
      </c>
      <c r="G460" t="s">
        <v>66</v>
      </c>
      <c r="H460" t="s">
        <v>34</v>
      </c>
      <c r="I460" s="2">
        <v>45313</v>
      </c>
      <c r="J460" t="s">
        <v>549</v>
      </c>
      <c r="K460" t="s">
        <v>100</v>
      </c>
      <c r="L460" t="s">
        <v>101</v>
      </c>
      <c r="M460" t="s">
        <v>78</v>
      </c>
      <c r="N460" t="str">
        <f t="shared" si="15"/>
        <v>January</v>
      </c>
    </row>
    <row r="461" spans="1:14" x14ac:dyDescent="0.3">
      <c r="A461" t="s">
        <v>548</v>
      </c>
      <c r="B461" s="1">
        <v>514</v>
      </c>
      <c r="C461" s="1">
        <f t="shared" si="14"/>
        <v>405</v>
      </c>
      <c r="D461">
        <v>109</v>
      </c>
      <c r="E461">
        <v>15</v>
      </c>
      <c r="F461" t="s">
        <v>32</v>
      </c>
      <c r="G461" t="s">
        <v>66</v>
      </c>
      <c r="H461" t="s">
        <v>34</v>
      </c>
      <c r="I461" s="2">
        <v>44922</v>
      </c>
      <c r="J461" t="s">
        <v>550</v>
      </c>
      <c r="K461" t="s">
        <v>44</v>
      </c>
      <c r="L461" t="s">
        <v>94</v>
      </c>
      <c r="M461" t="s">
        <v>154</v>
      </c>
      <c r="N461" t="str">
        <f t="shared" si="15"/>
        <v>December</v>
      </c>
    </row>
    <row r="462" spans="1:14" x14ac:dyDescent="0.3">
      <c r="A462" t="s">
        <v>551</v>
      </c>
      <c r="B462" s="1">
        <v>3273</v>
      </c>
      <c r="C462" s="1">
        <f t="shared" si="14"/>
        <v>3188</v>
      </c>
      <c r="D462">
        <v>85</v>
      </c>
      <c r="E462">
        <v>16</v>
      </c>
      <c r="F462" t="s">
        <v>15</v>
      </c>
      <c r="G462" t="s">
        <v>84</v>
      </c>
      <c r="H462" t="s">
        <v>17</v>
      </c>
      <c r="I462" s="2">
        <v>45381</v>
      </c>
      <c r="J462" t="s">
        <v>552</v>
      </c>
      <c r="K462" t="s">
        <v>100</v>
      </c>
      <c r="L462" t="s">
        <v>109</v>
      </c>
      <c r="M462" t="s">
        <v>340</v>
      </c>
      <c r="N462" t="str">
        <f t="shared" si="15"/>
        <v>March</v>
      </c>
    </row>
    <row r="463" spans="1:14" x14ac:dyDescent="0.3">
      <c r="A463" t="s">
        <v>553</v>
      </c>
      <c r="B463" s="1">
        <v>5035</v>
      </c>
      <c r="C463" s="1">
        <f t="shared" si="14"/>
        <v>3027</v>
      </c>
      <c r="D463">
        <v>2008</v>
      </c>
      <c r="E463">
        <v>2</v>
      </c>
      <c r="F463" t="s">
        <v>47</v>
      </c>
      <c r="G463" t="s">
        <v>51</v>
      </c>
      <c r="H463" t="s">
        <v>67</v>
      </c>
      <c r="I463" s="2">
        <v>43925</v>
      </c>
      <c r="J463" t="s">
        <v>554</v>
      </c>
      <c r="K463" t="s">
        <v>19</v>
      </c>
      <c r="L463" t="s">
        <v>20</v>
      </c>
      <c r="M463" t="s">
        <v>164</v>
      </c>
      <c r="N463" t="str">
        <f t="shared" si="15"/>
        <v>April</v>
      </c>
    </row>
    <row r="464" spans="1:14" x14ac:dyDescent="0.3">
      <c r="A464" t="s">
        <v>553</v>
      </c>
      <c r="B464" s="1">
        <v>7702</v>
      </c>
      <c r="C464" s="1">
        <f t="shared" si="14"/>
        <v>7642</v>
      </c>
      <c r="D464">
        <v>60</v>
      </c>
      <c r="E464">
        <v>19</v>
      </c>
      <c r="F464" t="s">
        <v>15</v>
      </c>
      <c r="G464" t="s">
        <v>30</v>
      </c>
      <c r="H464" t="s">
        <v>17</v>
      </c>
      <c r="I464" s="2">
        <v>43925</v>
      </c>
      <c r="J464" t="s">
        <v>554</v>
      </c>
      <c r="K464" t="s">
        <v>19</v>
      </c>
      <c r="L464" t="s">
        <v>20</v>
      </c>
      <c r="M464" t="s">
        <v>164</v>
      </c>
      <c r="N464" t="str">
        <f t="shared" si="15"/>
        <v>April</v>
      </c>
    </row>
    <row r="465" spans="1:14" x14ac:dyDescent="0.3">
      <c r="A465" t="s">
        <v>553</v>
      </c>
      <c r="B465" s="1">
        <v>9884</v>
      </c>
      <c r="C465" s="1">
        <f t="shared" si="14"/>
        <v>5438</v>
      </c>
      <c r="D465">
        <v>4446</v>
      </c>
      <c r="E465">
        <v>7</v>
      </c>
      <c r="F465" t="s">
        <v>15</v>
      </c>
      <c r="G465" t="s">
        <v>30</v>
      </c>
      <c r="H465" t="s">
        <v>42</v>
      </c>
      <c r="I465" s="2">
        <v>43925</v>
      </c>
      <c r="J465" t="s">
        <v>554</v>
      </c>
      <c r="K465" t="s">
        <v>19</v>
      </c>
      <c r="L465" t="s">
        <v>20</v>
      </c>
      <c r="M465" t="s">
        <v>164</v>
      </c>
      <c r="N465" t="str">
        <f t="shared" si="15"/>
        <v>April</v>
      </c>
    </row>
    <row r="466" spans="1:14" x14ac:dyDescent="0.3">
      <c r="A466" t="s">
        <v>555</v>
      </c>
      <c r="B466" s="1">
        <v>5564</v>
      </c>
      <c r="C466" s="1">
        <f t="shared" si="14"/>
        <v>5389</v>
      </c>
      <c r="D466">
        <v>175</v>
      </c>
      <c r="E466">
        <v>11</v>
      </c>
      <c r="F466" t="s">
        <v>15</v>
      </c>
      <c r="G466" t="s">
        <v>41</v>
      </c>
      <c r="H466" t="s">
        <v>67</v>
      </c>
      <c r="I466" s="2">
        <v>44948</v>
      </c>
      <c r="J466" t="s">
        <v>556</v>
      </c>
      <c r="K466" t="s">
        <v>23</v>
      </c>
      <c r="L466" t="s">
        <v>24</v>
      </c>
      <c r="M466" t="s">
        <v>335</v>
      </c>
      <c r="N466" t="str">
        <f t="shared" si="15"/>
        <v>January</v>
      </c>
    </row>
    <row r="467" spans="1:14" x14ac:dyDescent="0.3">
      <c r="A467" t="s">
        <v>555</v>
      </c>
      <c r="B467" s="1">
        <v>5564</v>
      </c>
      <c r="C467" s="1">
        <f t="shared" si="14"/>
        <v>5389</v>
      </c>
      <c r="D467">
        <v>175</v>
      </c>
      <c r="E467">
        <v>11</v>
      </c>
      <c r="F467" t="s">
        <v>15</v>
      </c>
      <c r="G467" t="s">
        <v>41</v>
      </c>
      <c r="H467" t="s">
        <v>67</v>
      </c>
      <c r="I467" s="2">
        <v>44663</v>
      </c>
      <c r="J467" t="s">
        <v>557</v>
      </c>
      <c r="K467" t="s">
        <v>73</v>
      </c>
      <c r="L467" t="s">
        <v>140</v>
      </c>
      <c r="M467" t="s">
        <v>189</v>
      </c>
      <c r="N467" t="str">
        <f t="shared" si="15"/>
        <v>April</v>
      </c>
    </row>
    <row r="468" spans="1:14" x14ac:dyDescent="0.3">
      <c r="A468" t="s">
        <v>555</v>
      </c>
      <c r="B468" s="1">
        <v>5564</v>
      </c>
      <c r="C468" s="1">
        <f t="shared" si="14"/>
        <v>5389</v>
      </c>
      <c r="D468">
        <v>175</v>
      </c>
      <c r="E468">
        <v>11</v>
      </c>
      <c r="F468" t="s">
        <v>15</v>
      </c>
      <c r="G468" t="s">
        <v>41</v>
      </c>
      <c r="H468" t="s">
        <v>67</v>
      </c>
      <c r="I468" s="2">
        <v>45273</v>
      </c>
      <c r="J468" t="s">
        <v>558</v>
      </c>
      <c r="K468" t="s">
        <v>19</v>
      </c>
      <c r="L468" t="s">
        <v>20</v>
      </c>
      <c r="M468" t="s">
        <v>104</v>
      </c>
      <c r="N468" t="str">
        <f t="shared" si="15"/>
        <v>December</v>
      </c>
    </row>
    <row r="469" spans="1:14" x14ac:dyDescent="0.3">
      <c r="A469" t="s">
        <v>555</v>
      </c>
      <c r="B469" s="1">
        <v>3953</v>
      </c>
      <c r="C469" s="1">
        <f t="shared" si="14"/>
        <v>2177</v>
      </c>
      <c r="D469">
        <v>1776</v>
      </c>
      <c r="E469">
        <v>15</v>
      </c>
      <c r="F469" t="s">
        <v>15</v>
      </c>
      <c r="G469" t="s">
        <v>16</v>
      </c>
      <c r="H469" t="s">
        <v>17</v>
      </c>
      <c r="I469" s="2">
        <v>44948</v>
      </c>
      <c r="J469" t="s">
        <v>556</v>
      </c>
      <c r="K469" t="s">
        <v>23</v>
      </c>
      <c r="L469" t="s">
        <v>24</v>
      </c>
      <c r="M469" t="s">
        <v>335</v>
      </c>
      <c r="N469" t="str">
        <f t="shared" si="15"/>
        <v>January</v>
      </c>
    </row>
    <row r="470" spans="1:14" x14ac:dyDescent="0.3">
      <c r="A470" t="s">
        <v>555</v>
      </c>
      <c r="B470" s="1">
        <v>3953</v>
      </c>
      <c r="C470" s="1">
        <f t="shared" si="14"/>
        <v>2177</v>
      </c>
      <c r="D470">
        <v>1776</v>
      </c>
      <c r="E470">
        <v>15</v>
      </c>
      <c r="F470" t="s">
        <v>15</v>
      </c>
      <c r="G470" t="s">
        <v>16</v>
      </c>
      <c r="H470" t="s">
        <v>17</v>
      </c>
      <c r="I470" s="2">
        <v>44663</v>
      </c>
      <c r="J470" t="s">
        <v>557</v>
      </c>
      <c r="K470" t="s">
        <v>73</v>
      </c>
      <c r="L470" t="s">
        <v>140</v>
      </c>
      <c r="M470" t="s">
        <v>189</v>
      </c>
      <c r="N470" t="str">
        <f t="shared" si="15"/>
        <v>April</v>
      </c>
    </row>
    <row r="471" spans="1:14" x14ac:dyDescent="0.3">
      <c r="A471" t="s">
        <v>555</v>
      </c>
      <c r="B471" s="1">
        <v>3953</v>
      </c>
      <c r="C471" s="1">
        <f t="shared" si="14"/>
        <v>2177</v>
      </c>
      <c r="D471">
        <v>1776</v>
      </c>
      <c r="E471">
        <v>15</v>
      </c>
      <c r="F471" t="s">
        <v>15</v>
      </c>
      <c r="G471" t="s">
        <v>16</v>
      </c>
      <c r="H471" t="s">
        <v>17</v>
      </c>
      <c r="I471" s="2">
        <v>45273</v>
      </c>
      <c r="J471" t="s">
        <v>558</v>
      </c>
      <c r="K471" t="s">
        <v>19</v>
      </c>
      <c r="L471" t="s">
        <v>20</v>
      </c>
      <c r="M471" t="s">
        <v>104</v>
      </c>
      <c r="N471" t="str">
        <f t="shared" si="15"/>
        <v>December</v>
      </c>
    </row>
    <row r="472" spans="1:14" x14ac:dyDescent="0.3">
      <c r="A472" t="s">
        <v>559</v>
      </c>
      <c r="B472" s="1">
        <v>6488</v>
      </c>
      <c r="C472" s="1">
        <f t="shared" si="14"/>
        <v>4897</v>
      </c>
      <c r="D472">
        <v>1591</v>
      </c>
      <c r="E472">
        <v>18</v>
      </c>
      <c r="F472" t="s">
        <v>15</v>
      </c>
      <c r="G472" t="s">
        <v>30</v>
      </c>
      <c r="H472" t="s">
        <v>42</v>
      </c>
      <c r="I472" s="2">
        <v>45070</v>
      </c>
      <c r="J472" t="s">
        <v>560</v>
      </c>
      <c r="K472" t="s">
        <v>73</v>
      </c>
      <c r="L472" t="s">
        <v>74</v>
      </c>
      <c r="M472" t="s">
        <v>129</v>
      </c>
      <c r="N472" t="str">
        <f t="shared" si="15"/>
        <v>May</v>
      </c>
    </row>
    <row r="473" spans="1:14" x14ac:dyDescent="0.3">
      <c r="A473" t="s">
        <v>559</v>
      </c>
      <c r="B473" s="1">
        <v>6488</v>
      </c>
      <c r="C473" s="1">
        <f t="shared" si="14"/>
        <v>4897</v>
      </c>
      <c r="D473">
        <v>1591</v>
      </c>
      <c r="E473">
        <v>18</v>
      </c>
      <c r="F473" t="s">
        <v>15</v>
      </c>
      <c r="G473" t="s">
        <v>30</v>
      </c>
      <c r="H473" t="s">
        <v>42</v>
      </c>
      <c r="I473" s="2">
        <v>44164</v>
      </c>
      <c r="J473" t="s">
        <v>561</v>
      </c>
      <c r="K473" t="s">
        <v>73</v>
      </c>
      <c r="L473" t="s">
        <v>140</v>
      </c>
      <c r="M473" t="s">
        <v>82</v>
      </c>
      <c r="N473" t="str">
        <f t="shared" si="15"/>
        <v>November</v>
      </c>
    </row>
    <row r="474" spans="1:14" x14ac:dyDescent="0.3">
      <c r="A474" t="s">
        <v>562</v>
      </c>
      <c r="B474" s="1">
        <v>7856</v>
      </c>
      <c r="C474" s="1">
        <f t="shared" si="14"/>
        <v>4157</v>
      </c>
      <c r="D474">
        <v>3699</v>
      </c>
      <c r="E474">
        <v>17</v>
      </c>
      <c r="F474" t="s">
        <v>15</v>
      </c>
      <c r="G474" t="s">
        <v>16</v>
      </c>
      <c r="H474" t="s">
        <v>17</v>
      </c>
      <c r="I474" s="2">
        <v>44279</v>
      </c>
      <c r="J474" t="s">
        <v>563</v>
      </c>
      <c r="K474" t="s">
        <v>19</v>
      </c>
      <c r="L474" t="s">
        <v>36</v>
      </c>
      <c r="M474" t="s">
        <v>169</v>
      </c>
      <c r="N474" t="str">
        <f t="shared" si="15"/>
        <v>March</v>
      </c>
    </row>
    <row r="475" spans="1:14" x14ac:dyDescent="0.3">
      <c r="A475" t="s">
        <v>562</v>
      </c>
      <c r="B475" s="1">
        <v>1165</v>
      </c>
      <c r="C475" s="1">
        <f t="shared" si="14"/>
        <v>1114</v>
      </c>
      <c r="D475">
        <v>51</v>
      </c>
      <c r="E475">
        <v>3</v>
      </c>
      <c r="F475" t="s">
        <v>32</v>
      </c>
      <c r="G475" t="s">
        <v>33</v>
      </c>
      <c r="H475" t="s">
        <v>42</v>
      </c>
      <c r="I475" s="2">
        <v>44279</v>
      </c>
      <c r="J475" t="s">
        <v>563</v>
      </c>
      <c r="K475" t="s">
        <v>19</v>
      </c>
      <c r="L475" t="s">
        <v>36</v>
      </c>
      <c r="M475" t="s">
        <v>169</v>
      </c>
      <c r="N475" t="str">
        <f t="shared" si="15"/>
        <v>March</v>
      </c>
    </row>
    <row r="476" spans="1:14" x14ac:dyDescent="0.3">
      <c r="A476" t="s">
        <v>564</v>
      </c>
      <c r="B476" s="1">
        <v>9386</v>
      </c>
      <c r="C476" s="1">
        <f t="shared" si="14"/>
        <v>6831</v>
      </c>
      <c r="D476">
        <v>2555</v>
      </c>
      <c r="E476">
        <v>20</v>
      </c>
      <c r="F476" t="s">
        <v>32</v>
      </c>
      <c r="G476" t="s">
        <v>59</v>
      </c>
      <c r="H476" t="s">
        <v>49</v>
      </c>
      <c r="I476" s="2">
        <v>44062</v>
      </c>
      <c r="J476" t="s">
        <v>565</v>
      </c>
      <c r="K476" t="s">
        <v>44</v>
      </c>
      <c r="L476" t="s">
        <v>77</v>
      </c>
      <c r="M476" t="s">
        <v>187</v>
      </c>
      <c r="N476" t="str">
        <f t="shared" si="15"/>
        <v>August</v>
      </c>
    </row>
    <row r="477" spans="1:14" x14ac:dyDescent="0.3">
      <c r="A477" t="s">
        <v>564</v>
      </c>
      <c r="B477" s="1">
        <v>9386</v>
      </c>
      <c r="C477" s="1">
        <f t="shared" si="14"/>
        <v>6831</v>
      </c>
      <c r="D477">
        <v>2555</v>
      </c>
      <c r="E477">
        <v>20</v>
      </c>
      <c r="F477" t="s">
        <v>32</v>
      </c>
      <c r="G477" t="s">
        <v>59</v>
      </c>
      <c r="H477" t="s">
        <v>49</v>
      </c>
      <c r="I477" s="2">
        <v>44854</v>
      </c>
      <c r="J477" t="s">
        <v>566</v>
      </c>
      <c r="K477" t="s">
        <v>100</v>
      </c>
      <c r="L477" t="s">
        <v>119</v>
      </c>
      <c r="M477" t="s">
        <v>98</v>
      </c>
      <c r="N477" t="str">
        <f t="shared" si="15"/>
        <v>October</v>
      </c>
    </row>
    <row r="478" spans="1:14" x14ac:dyDescent="0.3">
      <c r="A478" t="s">
        <v>567</v>
      </c>
      <c r="B478" s="1">
        <v>3956</v>
      </c>
      <c r="C478" s="1">
        <f t="shared" si="14"/>
        <v>3814</v>
      </c>
      <c r="D478">
        <v>142</v>
      </c>
      <c r="E478">
        <v>12</v>
      </c>
      <c r="F478" t="s">
        <v>32</v>
      </c>
      <c r="G478" t="s">
        <v>33</v>
      </c>
      <c r="H478" t="s">
        <v>34</v>
      </c>
      <c r="I478" s="2">
        <v>45189</v>
      </c>
      <c r="J478" t="s">
        <v>568</v>
      </c>
      <c r="K478" t="s">
        <v>19</v>
      </c>
      <c r="L478" t="s">
        <v>152</v>
      </c>
      <c r="M478" t="s">
        <v>275</v>
      </c>
      <c r="N478" t="str">
        <f t="shared" si="15"/>
        <v>September</v>
      </c>
    </row>
    <row r="479" spans="1:14" x14ac:dyDescent="0.3">
      <c r="A479" t="s">
        <v>567</v>
      </c>
      <c r="B479" s="1">
        <v>3956</v>
      </c>
      <c r="C479" s="1">
        <f t="shared" si="14"/>
        <v>3814</v>
      </c>
      <c r="D479">
        <v>142</v>
      </c>
      <c r="E479">
        <v>12</v>
      </c>
      <c r="F479" t="s">
        <v>32</v>
      </c>
      <c r="G479" t="s">
        <v>33</v>
      </c>
      <c r="H479" t="s">
        <v>34</v>
      </c>
      <c r="I479" s="2">
        <v>45652</v>
      </c>
      <c r="J479" t="s">
        <v>569</v>
      </c>
      <c r="K479" t="s">
        <v>73</v>
      </c>
      <c r="L479" t="s">
        <v>74</v>
      </c>
      <c r="M479" t="s">
        <v>25</v>
      </c>
      <c r="N479" t="str">
        <f t="shared" si="15"/>
        <v>December</v>
      </c>
    </row>
    <row r="480" spans="1:14" x14ac:dyDescent="0.3">
      <c r="A480" t="s">
        <v>567</v>
      </c>
      <c r="B480" s="1">
        <v>6449</v>
      </c>
      <c r="C480" s="1">
        <f t="shared" si="14"/>
        <v>3821</v>
      </c>
      <c r="D480">
        <v>2628</v>
      </c>
      <c r="E480">
        <v>11</v>
      </c>
      <c r="F480" t="s">
        <v>47</v>
      </c>
      <c r="G480" t="s">
        <v>111</v>
      </c>
      <c r="H480" t="s">
        <v>42</v>
      </c>
      <c r="I480" s="2">
        <v>45189</v>
      </c>
      <c r="J480" t="s">
        <v>568</v>
      </c>
      <c r="K480" t="s">
        <v>19</v>
      </c>
      <c r="L480" t="s">
        <v>152</v>
      </c>
      <c r="M480" t="s">
        <v>275</v>
      </c>
      <c r="N480" t="str">
        <f t="shared" si="15"/>
        <v>September</v>
      </c>
    </row>
    <row r="481" spans="1:14" x14ac:dyDescent="0.3">
      <c r="A481" t="s">
        <v>567</v>
      </c>
      <c r="B481" s="1">
        <v>6449</v>
      </c>
      <c r="C481" s="1">
        <f t="shared" si="14"/>
        <v>3821</v>
      </c>
      <c r="D481">
        <v>2628</v>
      </c>
      <c r="E481">
        <v>11</v>
      </c>
      <c r="F481" t="s">
        <v>47</v>
      </c>
      <c r="G481" t="s">
        <v>111</v>
      </c>
      <c r="H481" t="s">
        <v>42</v>
      </c>
      <c r="I481" s="2">
        <v>45652</v>
      </c>
      <c r="J481" t="s">
        <v>569</v>
      </c>
      <c r="K481" t="s">
        <v>73</v>
      </c>
      <c r="L481" t="s">
        <v>74</v>
      </c>
      <c r="M481" t="s">
        <v>25</v>
      </c>
      <c r="N481" t="str">
        <f t="shared" si="15"/>
        <v>December</v>
      </c>
    </row>
    <row r="482" spans="1:14" x14ac:dyDescent="0.3">
      <c r="A482" t="s">
        <v>570</v>
      </c>
      <c r="B482" s="1">
        <v>6255</v>
      </c>
      <c r="C482" s="1">
        <f t="shared" si="14"/>
        <v>5818</v>
      </c>
      <c r="D482">
        <v>437</v>
      </c>
      <c r="E482">
        <v>18</v>
      </c>
      <c r="F482" t="s">
        <v>32</v>
      </c>
      <c r="G482" t="s">
        <v>59</v>
      </c>
      <c r="H482" t="s">
        <v>67</v>
      </c>
      <c r="I482" s="2">
        <v>44533</v>
      </c>
      <c r="J482" t="s">
        <v>571</v>
      </c>
      <c r="K482" t="s">
        <v>27</v>
      </c>
      <c r="L482" t="s">
        <v>70</v>
      </c>
      <c r="M482" t="s">
        <v>92</v>
      </c>
      <c r="N482" t="str">
        <f t="shared" si="15"/>
        <v>December</v>
      </c>
    </row>
    <row r="483" spans="1:14" x14ac:dyDescent="0.3">
      <c r="A483" t="s">
        <v>570</v>
      </c>
      <c r="B483" s="1">
        <v>2109</v>
      </c>
      <c r="C483" s="1">
        <f t="shared" si="14"/>
        <v>1428</v>
      </c>
      <c r="D483">
        <v>681</v>
      </c>
      <c r="E483">
        <v>20</v>
      </c>
      <c r="F483" t="s">
        <v>15</v>
      </c>
      <c r="G483" t="s">
        <v>16</v>
      </c>
      <c r="H483" t="s">
        <v>17</v>
      </c>
      <c r="I483" s="2">
        <v>44533</v>
      </c>
      <c r="J483" t="s">
        <v>571</v>
      </c>
      <c r="K483" t="s">
        <v>27</v>
      </c>
      <c r="L483" t="s">
        <v>70</v>
      </c>
      <c r="M483" t="s">
        <v>92</v>
      </c>
      <c r="N483" t="str">
        <f t="shared" si="15"/>
        <v>December</v>
      </c>
    </row>
    <row r="484" spans="1:14" x14ac:dyDescent="0.3">
      <c r="A484" t="s">
        <v>572</v>
      </c>
      <c r="B484" s="1">
        <v>6707</v>
      </c>
      <c r="C484" s="1">
        <f t="shared" si="14"/>
        <v>5666</v>
      </c>
      <c r="D484">
        <v>1041</v>
      </c>
      <c r="E484">
        <v>20</v>
      </c>
      <c r="F484" t="s">
        <v>15</v>
      </c>
      <c r="G484" t="s">
        <v>84</v>
      </c>
      <c r="H484" t="s">
        <v>49</v>
      </c>
      <c r="I484" s="2">
        <v>44453</v>
      </c>
      <c r="J484" t="s">
        <v>573</v>
      </c>
      <c r="K484" t="s">
        <v>73</v>
      </c>
      <c r="L484" t="s">
        <v>88</v>
      </c>
      <c r="M484" t="s">
        <v>226</v>
      </c>
      <c r="N484" t="str">
        <f t="shared" si="15"/>
        <v>September</v>
      </c>
    </row>
    <row r="485" spans="1:14" x14ac:dyDescent="0.3">
      <c r="A485" t="s">
        <v>574</v>
      </c>
      <c r="B485" s="1">
        <v>7633</v>
      </c>
      <c r="C485" s="1">
        <f t="shared" si="14"/>
        <v>7449</v>
      </c>
      <c r="D485">
        <v>184</v>
      </c>
      <c r="E485">
        <v>13</v>
      </c>
      <c r="F485" t="s">
        <v>32</v>
      </c>
      <c r="G485" t="s">
        <v>33</v>
      </c>
      <c r="H485" t="s">
        <v>67</v>
      </c>
      <c r="I485" s="2">
        <v>44469</v>
      </c>
      <c r="J485" t="s">
        <v>575</v>
      </c>
      <c r="K485" t="s">
        <v>23</v>
      </c>
      <c r="L485" t="s">
        <v>65</v>
      </c>
      <c r="M485" t="s">
        <v>226</v>
      </c>
      <c r="N485" t="str">
        <f t="shared" si="15"/>
        <v>September</v>
      </c>
    </row>
    <row r="486" spans="1:14" x14ac:dyDescent="0.3">
      <c r="A486" t="s">
        <v>576</v>
      </c>
      <c r="B486" s="1">
        <v>975</v>
      </c>
      <c r="C486" s="1">
        <f t="shared" si="14"/>
        <v>751</v>
      </c>
      <c r="D486">
        <v>224</v>
      </c>
      <c r="E486">
        <v>18</v>
      </c>
      <c r="F486" t="s">
        <v>32</v>
      </c>
      <c r="G486" t="s">
        <v>33</v>
      </c>
      <c r="H486" t="s">
        <v>67</v>
      </c>
      <c r="I486" s="2">
        <v>44552</v>
      </c>
      <c r="J486" t="s">
        <v>577</v>
      </c>
      <c r="K486" t="s">
        <v>44</v>
      </c>
      <c r="L486" t="s">
        <v>77</v>
      </c>
      <c r="M486" t="s">
        <v>92</v>
      </c>
      <c r="N486" t="str">
        <f t="shared" si="15"/>
        <v>December</v>
      </c>
    </row>
    <row r="487" spans="1:14" x14ac:dyDescent="0.3">
      <c r="A487" t="s">
        <v>576</v>
      </c>
      <c r="B487" s="1">
        <v>4492</v>
      </c>
      <c r="C487" s="1">
        <f t="shared" si="14"/>
        <v>3042</v>
      </c>
      <c r="D487">
        <v>1450</v>
      </c>
      <c r="E487">
        <v>7</v>
      </c>
      <c r="F487" t="s">
        <v>47</v>
      </c>
      <c r="G487" t="s">
        <v>48</v>
      </c>
      <c r="H487" t="s">
        <v>42</v>
      </c>
      <c r="I487" s="2">
        <v>44552</v>
      </c>
      <c r="J487" t="s">
        <v>577</v>
      </c>
      <c r="K487" t="s">
        <v>44</v>
      </c>
      <c r="L487" t="s">
        <v>77</v>
      </c>
      <c r="M487" t="s">
        <v>92</v>
      </c>
      <c r="N487" t="str">
        <f t="shared" si="15"/>
        <v>December</v>
      </c>
    </row>
    <row r="488" spans="1:14" x14ac:dyDescent="0.3">
      <c r="A488" t="s">
        <v>576</v>
      </c>
      <c r="B488" s="1">
        <v>7957</v>
      </c>
      <c r="C488" s="1">
        <f t="shared" si="14"/>
        <v>5123</v>
      </c>
      <c r="D488">
        <v>2834</v>
      </c>
      <c r="E488">
        <v>12</v>
      </c>
      <c r="F488" t="s">
        <v>47</v>
      </c>
      <c r="G488" t="s">
        <v>51</v>
      </c>
      <c r="H488" t="s">
        <v>17</v>
      </c>
      <c r="I488" s="2">
        <v>44552</v>
      </c>
      <c r="J488" t="s">
        <v>577</v>
      </c>
      <c r="K488" t="s">
        <v>44</v>
      </c>
      <c r="L488" t="s">
        <v>77</v>
      </c>
      <c r="M488" t="s">
        <v>92</v>
      </c>
      <c r="N488" t="str">
        <f t="shared" si="15"/>
        <v>December</v>
      </c>
    </row>
    <row r="489" spans="1:14" x14ac:dyDescent="0.3">
      <c r="A489" t="s">
        <v>578</v>
      </c>
      <c r="B489" s="1">
        <v>4906</v>
      </c>
      <c r="C489" s="1">
        <f t="shared" si="14"/>
        <v>3931</v>
      </c>
      <c r="D489">
        <v>975</v>
      </c>
      <c r="E489">
        <v>7</v>
      </c>
      <c r="F489" t="s">
        <v>47</v>
      </c>
      <c r="G489" t="s">
        <v>48</v>
      </c>
      <c r="H489" t="s">
        <v>34</v>
      </c>
      <c r="I489" s="2">
        <v>44699</v>
      </c>
      <c r="J489" t="s">
        <v>579</v>
      </c>
      <c r="K489" t="s">
        <v>73</v>
      </c>
      <c r="L489" t="s">
        <v>140</v>
      </c>
      <c r="M489" t="s">
        <v>182</v>
      </c>
      <c r="N489" t="str">
        <f t="shared" si="15"/>
        <v>May</v>
      </c>
    </row>
    <row r="490" spans="1:14" x14ac:dyDescent="0.3">
      <c r="A490" t="s">
        <v>580</v>
      </c>
      <c r="B490" s="1">
        <v>1379</v>
      </c>
      <c r="C490" s="1">
        <f t="shared" si="14"/>
        <v>1129</v>
      </c>
      <c r="D490">
        <v>250</v>
      </c>
      <c r="E490">
        <v>3</v>
      </c>
      <c r="F490" t="s">
        <v>32</v>
      </c>
      <c r="G490" t="s">
        <v>33</v>
      </c>
      <c r="H490" t="s">
        <v>49</v>
      </c>
      <c r="I490" s="2">
        <v>44112</v>
      </c>
      <c r="J490" t="s">
        <v>581</v>
      </c>
      <c r="K490" t="s">
        <v>27</v>
      </c>
      <c r="L490" t="s">
        <v>28</v>
      </c>
      <c r="M490" t="s">
        <v>121</v>
      </c>
      <c r="N490" t="str">
        <f t="shared" si="15"/>
        <v>October</v>
      </c>
    </row>
    <row r="491" spans="1:14" x14ac:dyDescent="0.3">
      <c r="A491" t="s">
        <v>580</v>
      </c>
      <c r="B491" s="1">
        <v>4244</v>
      </c>
      <c r="C491" s="1">
        <f t="shared" si="14"/>
        <v>3904</v>
      </c>
      <c r="D491">
        <v>340</v>
      </c>
      <c r="E491">
        <v>10</v>
      </c>
      <c r="F491" t="s">
        <v>15</v>
      </c>
      <c r="G491" t="s">
        <v>41</v>
      </c>
      <c r="H491" t="s">
        <v>34</v>
      </c>
      <c r="I491" s="2">
        <v>44112</v>
      </c>
      <c r="J491" t="s">
        <v>581</v>
      </c>
      <c r="K491" t="s">
        <v>27</v>
      </c>
      <c r="L491" t="s">
        <v>28</v>
      </c>
      <c r="M491" t="s">
        <v>121</v>
      </c>
      <c r="N491" t="str">
        <f t="shared" si="15"/>
        <v>October</v>
      </c>
    </row>
    <row r="492" spans="1:14" x14ac:dyDescent="0.3">
      <c r="A492" t="s">
        <v>582</v>
      </c>
      <c r="B492" s="1">
        <v>5911</v>
      </c>
      <c r="C492" s="1">
        <f t="shared" si="14"/>
        <v>3578</v>
      </c>
      <c r="D492">
        <v>2333</v>
      </c>
      <c r="E492">
        <v>14</v>
      </c>
      <c r="F492" t="s">
        <v>47</v>
      </c>
      <c r="G492" t="s">
        <v>111</v>
      </c>
      <c r="H492" t="s">
        <v>42</v>
      </c>
      <c r="I492" s="2">
        <v>44793</v>
      </c>
      <c r="J492" t="s">
        <v>583</v>
      </c>
      <c r="K492" t="s">
        <v>44</v>
      </c>
      <c r="L492" t="s">
        <v>77</v>
      </c>
      <c r="M492" t="s">
        <v>211</v>
      </c>
      <c r="N492" t="str">
        <f t="shared" si="15"/>
        <v>August</v>
      </c>
    </row>
    <row r="493" spans="1:14" x14ac:dyDescent="0.3">
      <c r="A493" t="s">
        <v>582</v>
      </c>
      <c r="B493" s="1">
        <v>5911</v>
      </c>
      <c r="C493" s="1">
        <f t="shared" si="14"/>
        <v>3578</v>
      </c>
      <c r="D493">
        <v>2333</v>
      </c>
      <c r="E493">
        <v>14</v>
      </c>
      <c r="F493" t="s">
        <v>47</v>
      </c>
      <c r="G493" t="s">
        <v>111</v>
      </c>
      <c r="H493" t="s">
        <v>42</v>
      </c>
      <c r="I493" s="2">
        <v>45621</v>
      </c>
      <c r="J493" t="s">
        <v>584</v>
      </c>
      <c r="K493" t="s">
        <v>44</v>
      </c>
      <c r="L493" t="s">
        <v>94</v>
      </c>
      <c r="M493" t="s">
        <v>257</v>
      </c>
      <c r="N493" t="str">
        <f t="shared" si="15"/>
        <v>November</v>
      </c>
    </row>
    <row r="494" spans="1:14" x14ac:dyDescent="0.3">
      <c r="A494" t="s">
        <v>582</v>
      </c>
      <c r="B494" s="1">
        <v>1818</v>
      </c>
      <c r="C494" s="1">
        <f t="shared" si="14"/>
        <v>1080</v>
      </c>
      <c r="D494">
        <v>738</v>
      </c>
      <c r="E494">
        <v>11</v>
      </c>
      <c r="F494" t="s">
        <v>32</v>
      </c>
      <c r="G494" t="s">
        <v>59</v>
      </c>
      <c r="H494" t="s">
        <v>42</v>
      </c>
      <c r="I494" s="2">
        <v>44793</v>
      </c>
      <c r="J494" t="s">
        <v>583</v>
      </c>
      <c r="K494" t="s">
        <v>44</v>
      </c>
      <c r="L494" t="s">
        <v>77</v>
      </c>
      <c r="M494" t="s">
        <v>211</v>
      </c>
      <c r="N494" t="str">
        <f t="shared" si="15"/>
        <v>August</v>
      </c>
    </row>
    <row r="495" spans="1:14" x14ac:dyDescent="0.3">
      <c r="A495" t="s">
        <v>582</v>
      </c>
      <c r="B495" s="1">
        <v>1818</v>
      </c>
      <c r="C495" s="1">
        <f t="shared" si="14"/>
        <v>1080</v>
      </c>
      <c r="D495">
        <v>738</v>
      </c>
      <c r="E495">
        <v>11</v>
      </c>
      <c r="F495" t="s">
        <v>32</v>
      </c>
      <c r="G495" t="s">
        <v>59</v>
      </c>
      <c r="H495" t="s">
        <v>42</v>
      </c>
      <c r="I495" s="2">
        <v>45621</v>
      </c>
      <c r="J495" t="s">
        <v>584</v>
      </c>
      <c r="K495" t="s">
        <v>44</v>
      </c>
      <c r="L495" t="s">
        <v>94</v>
      </c>
      <c r="M495" t="s">
        <v>257</v>
      </c>
      <c r="N495" t="str">
        <f t="shared" si="15"/>
        <v>November</v>
      </c>
    </row>
    <row r="496" spans="1:14" x14ac:dyDescent="0.3">
      <c r="A496" t="s">
        <v>585</v>
      </c>
      <c r="B496" s="1">
        <v>2140</v>
      </c>
      <c r="C496" s="1">
        <f t="shared" si="14"/>
        <v>1170</v>
      </c>
      <c r="D496">
        <v>970</v>
      </c>
      <c r="E496">
        <v>4</v>
      </c>
      <c r="F496" t="s">
        <v>32</v>
      </c>
      <c r="G496" t="s">
        <v>66</v>
      </c>
      <c r="H496" t="s">
        <v>49</v>
      </c>
      <c r="I496" s="2">
        <v>44104</v>
      </c>
      <c r="J496" t="s">
        <v>586</v>
      </c>
      <c r="K496" t="s">
        <v>44</v>
      </c>
      <c r="L496" t="s">
        <v>77</v>
      </c>
      <c r="M496" t="s">
        <v>391</v>
      </c>
      <c r="N496" t="str">
        <f t="shared" si="15"/>
        <v>September</v>
      </c>
    </row>
    <row r="497" spans="1:14" x14ac:dyDescent="0.3">
      <c r="A497" t="s">
        <v>585</v>
      </c>
      <c r="B497" s="1">
        <v>2140</v>
      </c>
      <c r="C497" s="1">
        <f t="shared" si="14"/>
        <v>1170</v>
      </c>
      <c r="D497">
        <v>970</v>
      </c>
      <c r="E497">
        <v>4</v>
      </c>
      <c r="F497" t="s">
        <v>32</v>
      </c>
      <c r="G497" t="s">
        <v>66</v>
      </c>
      <c r="H497" t="s">
        <v>49</v>
      </c>
      <c r="I497" s="2">
        <v>45708</v>
      </c>
      <c r="J497" t="s">
        <v>587</v>
      </c>
      <c r="K497" t="s">
        <v>19</v>
      </c>
      <c r="L497" t="s">
        <v>36</v>
      </c>
      <c r="M497" t="s">
        <v>75</v>
      </c>
      <c r="N497" t="str">
        <f t="shared" si="15"/>
        <v>February</v>
      </c>
    </row>
    <row r="498" spans="1:14" x14ac:dyDescent="0.3">
      <c r="A498" t="s">
        <v>585</v>
      </c>
      <c r="B498" s="1">
        <v>2140</v>
      </c>
      <c r="C498" s="1">
        <f t="shared" si="14"/>
        <v>1170</v>
      </c>
      <c r="D498">
        <v>970</v>
      </c>
      <c r="E498">
        <v>4</v>
      </c>
      <c r="F498" t="s">
        <v>32</v>
      </c>
      <c r="G498" t="s">
        <v>66</v>
      </c>
      <c r="H498" t="s">
        <v>49</v>
      </c>
      <c r="I498" s="2">
        <v>44640</v>
      </c>
      <c r="J498" t="s">
        <v>588</v>
      </c>
      <c r="K498" t="s">
        <v>44</v>
      </c>
      <c r="L498" t="s">
        <v>94</v>
      </c>
      <c r="M498" t="s">
        <v>136</v>
      </c>
      <c r="N498" t="str">
        <f t="shared" si="15"/>
        <v>March</v>
      </c>
    </row>
    <row r="499" spans="1:14" x14ac:dyDescent="0.3">
      <c r="A499" t="s">
        <v>585</v>
      </c>
      <c r="B499" s="1">
        <v>2670</v>
      </c>
      <c r="C499" s="1">
        <f t="shared" si="14"/>
        <v>1644</v>
      </c>
      <c r="D499">
        <v>1026</v>
      </c>
      <c r="E499">
        <v>1</v>
      </c>
      <c r="F499" t="s">
        <v>15</v>
      </c>
      <c r="G499" t="s">
        <v>41</v>
      </c>
      <c r="H499" t="s">
        <v>34</v>
      </c>
      <c r="I499" s="2">
        <v>44104</v>
      </c>
      <c r="J499" t="s">
        <v>586</v>
      </c>
      <c r="K499" t="s">
        <v>44</v>
      </c>
      <c r="L499" t="s">
        <v>77</v>
      </c>
      <c r="M499" t="s">
        <v>391</v>
      </c>
      <c r="N499" t="str">
        <f t="shared" si="15"/>
        <v>September</v>
      </c>
    </row>
    <row r="500" spans="1:14" x14ac:dyDescent="0.3">
      <c r="A500" t="s">
        <v>585</v>
      </c>
      <c r="B500" s="1">
        <v>2670</v>
      </c>
      <c r="C500" s="1">
        <f t="shared" si="14"/>
        <v>1644</v>
      </c>
      <c r="D500">
        <v>1026</v>
      </c>
      <c r="E500">
        <v>1</v>
      </c>
      <c r="F500" t="s">
        <v>15</v>
      </c>
      <c r="G500" t="s">
        <v>41</v>
      </c>
      <c r="H500" t="s">
        <v>34</v>
      </c>
      <c r="I500" s="2">
        <v>45708</v>
      </c>
      <c r="J500" t="s">
        <v>587</v>
      </c>
      <c r="K500" t="s">
        <v>19</v>
      </c>
      <c r="L500" t="s">
        <v>36</v>
      </c>
      <c r="M500" t="s">
        <v>75</v>
      </c>
      <c r="N500" t="str">
        <f t="shared" si="15"/>
        <v>February</v>
      </c>
    </row>
    <row r="501" spans="1:14" x14ac:dyDescent="0.3">
      <c r="A501" t="s">
        <v>585</v>
      </c>
      <c r="B501" s="1">
        <v>2670</v>
      </c>
      <c r="C501" s="1">
        <f t="shared" si="14"/>
        <v>1644</v>
      </c>
      <c r="D501">
        <v>1026</v>
      </c>
      <c r="E501">
        <v>1</v>
      </c>
      <c r="F501" t="s">
        <v>15</v>
      </c>
      <c r="G501" t="s">
        <v>41</v>
      </c>
      <c r="H501" t="s">
        <v>34</v>
      </c>
      <c r="I501" s="2">
        <v>44640</v>
      </c>
      <c r="J501" t="s">
        <v>588</v>
      </c>
      <c r="K501" t="s">
        <v>44</v>
      </c>
      <c r="L501" t="s">
        <v>94</v>
      </c>
      <c r="M501" t="s">
        <v>136</v>
      </c>
      <c r="N501" t="str">
        <f t="shared" si="15"/>
        <v>March</v>
      </c>
    </row>
    <row r="502" spans="1:14" x14ac:dyDescent="0.3">
      <c r="A502" t="s">
        <v>589</v>
      </c>
      <c r="B502" s="1">
        <v>1108</v>
      </c>
      <c r="C502" s="1">
        <f t="shared" si="14"/>
        <v>941</v>
      </c>
      <c r="D502">
        <v>167</v>
      </c>
      <c r="E502">
        <v>18</v>
      </c>
      <c r="F502" t="s">
        <v>15</v>
      </c>
      <c r="G502" t="s">
        <v>41</v>
      </c>
      <c r="H502" t="s">
        <v>34</v>
      </c>
      <c r="I502" s="2">
        <v>45723</v>
      </c>
      <c r="J502" t="s">
        <v>590</v>
      </c>
      <c r="K502" t="s">
        <v>23</v>
      </c>
      <c r="L502" t="s">
        <v>65</v>
      </c>
      <c r="M502" t="s">
        <v>159</v>
      </c>
      <c r="N502" t="str">
        <f t="shared" si="15"/>
        <v>March</v>
      </c>
    </row>
    <row r="503" spans="1:14" x14ac:dyDescent="0.3">
      <c r="A503" t="s">
        <v>589</v>
      </c>
      <c r="B503" s="1">
        <v>9776</v>
      </c>
      <c r="C503" s="1">
        <f t="shared" si="14"/>
        <v>6026</v>
      </c>
      <c r="D503">
        <v>3750</v>
      </c>
      <c r="E503">
        <v>9</v>
      </c>
      <c r="F503" t="s">
        <v>32</v>
      </c>
      <c r="G503" t="s">
        <v>80</v>
      </c>
      <c r="H503" t="s">
        <v>17</v>
      </c>
      <c r="I503" s="2">
        <v>45723</v>
      </c>
      <c r="J503" t="s">
        <v>590</v>
      </c>
      <c r="K503" t="s">
        <v>23</v>
      </c>
      <c r="L503" t="s">
        <v>65</v>
      </c>
      <c r="M503" t="s">
        <v>159</v>
      </c>
      <c r="N503" t="str">
        <f t="shared" si="15"/>
        <v>March</v>
      </c>
    </row>
    <row r="504" spans="1:14" x14ac:dyDescent="0.3">
      <c r="A504" t="s">
        <v>589</v>
      </c>
      <c r="B504" s="1">
        <v>535</v>
      </c>
      <c r="C504" s="1">
        <f t="shared" si="14"/>
        <v>463</v>
      </c>
      <c r="D504">
        <v>72</v>
      </c>
      <c r="E504">
        <v>6</v>
      </c>
      <c r="F504" t="s">
        <v>47</v>
      </c>
      <c r="G504" t="s">
        <v>111</v>
      </c>
      <c r="H504" t="s">
        <v>67</v>
      </c>
      <c r="I504" s="2">
        <v>45723</v>
      </c>
      <c r="J504" t="s">
        <v>590</v>
      </c>
      <c r="K504" t="s">
        <v>23</v>
      </c>
      <c r="L504" t="s">
        <v>65</v>
      </c>
      <c r="M504" t="s">
        <v>159</v>
      </c>
      <c r="N504" t="str">
        <f t="shared" si="15"/>
        <v>March</v>
      </c>
    </row>
    <row r="505" spans="1:14" x14ac:dyDescent="0.3">
      <c r="A505" t="s">
        <v>591</v>
      </c>
      <c r="B505" s="1">
        <v>7564</v>
      </c>
      <c r="C505" s="1">
        <f t="shared" si="14"/>
        <v>4101</v>
      </c>
      <c r="D505">
        <v>3463</v>
      </c>
      <c r="E505">
        <v>5</v>
      </c>
      <c r="F505" t="s">
        <v>32</v>
      </c>
      <c r="G505" t="s">
        <v>66</v>
      </c>
      <c r="H505" t="s">
        <v>49</v>
      </c>
      <c r="I505" s="2">
        <v>45459</v>
      </c>
      <c r="J505" t="s">
        <v>592</v>
      </c>
      <c r="K505" t="s">
        <v>19</v>
      </c>
      <c r="L505" t="s">
        <v>152</v>
      </c>
      <c r="M505" t="s">
        <v>264</v>
      </c>
      <c r="N505" t="str">
        <f t="shared" si="15"/>
        <v>June</v>
      </c>
    </row>
    <row r="506" spans="1:14" x14ac:dyDescent="0.3">
      <c r="A506" t="s">
        <v>591</v>
      </c>
      <c r="B506" s="1">
        <v>7564</v>
      </c>
      <c r="C506" s="1">
        <f t="shared" si="14"/>
        <v>4101</v>
      </c>
      <c r="D506">
        <v>3463</v>
      </c>
      <c r="E506">
        <v>5</v>
      </c>
      <c r="F506" t="s">
        <v>32</v>
      </c>
      <c r="G506" t="s">
        <v>66</v>
      </c>
      <c r="H506" t="s">
        <v>49</v>
      </c>
      <c r="I506" s="2">
        <v>44156</v>
      </c>
      <c r="J506" t="s">
        <v>593</v>
      </c>
      <c r="K506" t="s">
        <v>23</v>
      </c>
      <c r="L506" t="s">
        <v>174</v>
      </c>
      <c r="M506" t="s">
        <v>82</v>
      </c>
      <c r="N506" t="str">
        <f t="shared" si="15"/>
        <v>November</v>
      </c>
    </row>
    <row r="507" spans="1:14" x14ac:dyDescent="0.3">
      <c r="A507" t="s">
        <v>591</v>
      </c>
      <c r="B507" s="1">
        <v>7564</v>
      </c>
      <c r="C507" s="1">
        <f t="shared" si="14"/>
        <v>4101</v>
      </c>
      <c r="D507">
        <v>3463</v>
      </c>
      <c r="E507">
        <v>5</v>
      </c>
      <c r="F507" t="s">
        <v>32</v>
      </c>
      <c r="G507" t="s">
        <v>66</v>
      </c>
      <c r="H507" t="s">
        <v>49</v>
      </c>
      <c r="I507" s="2">
        <v>45566</v>
      </c>
      <c r="J507" t="s">
        <v>594</v>
      </c>
      <c r="K507" t="s">
        <v>19</v>
      </c>
      <c r="L507" t="s">
        <v>20</v>
      </c>
      <c r="M507" t="s">
        <v>362</v>
      </c>
      <c r="N507" t="str">
        <f t="shared" si="15"/>
        <v>October</v>
      </c>
    </row>
    <row r="508" spans="1:14" x14ac:dyDescent="0.3">
      <c r="A508" t="s">
        <v>591</v>
      </c>
      <c r="B508" s="1">
        <v>7564</v>
      </c>
      <c r="C508" s="1">
        <f t="shared" si="14"/>
        <v>4101</v>
      </c>
      <c r="D508">
        <v>3463</v>
      </c>
      <c r="E508">
        <v>5</v>
      </c>
      <c r="F508" t="s">
        <v>32</v>
      </c>
      <c r="G508" t="s">
        <v>66</v>
      </c>
      <c r="H508" t="s">
        <v>49</v>
      </c>
      <c r="I508" s="2">
        <v>45474</v>
      </c>
      <c r="J508" t="s">
        <v>595</v>
      </c>
      <c r="K508" t="s">
        <v>73</v>
      </c>
      <c r="L508" t="s">
        <v>140</v>
      </c>
      <c r="M508" t="s">
        <v>217</v>
      </c>
      <c r="N508" t="str">
        <f t="shared" si="15"/>
        <v>July</v>
      </c>
    </row>
    <row r="509" spans="1:14" x14ac:dyDescent="0.3">
      <c r="A509" t="s">
        <v>591</v>
      </c>
      <c r="B509" s="1">
        <v>3409</v>
      </c>
      <c r="C509" s="1">
        <f t="shared" si="14"/>
        <v>1804</v>
      </c>
      <c r="D509">
        <v>1605</v>
      </c>
      <c r="E509">
        <v>20</v>
      </c>
      <c r="F509" t="s">
        <v>15</v>
      </c>
      <c r="G509" t="s">
        <v>16</v>
      </c>
      <c r="H509" t="s">
        <v>17</v>
      </c>
      <c r="I509" s="2">
        <v>45459</v>
      </c>
      <c r="J509" t="s">
        <v>592</v>
      </c>
      <c r="K509" t="s">
        <v>19</v>
      </c>
      <c r="L509" t="s">
        <v>152</v>
      </c>
      <c r="M509" t="s">
        <v>264</v>
      </c>
      <c r="N509" t="str">
        <f t="shared" si="15"/>
        <v>June</v>
      </c>
    </row>
    <row r="510" spans="1:14" x14ac:dyDescent="0.3">
      <c r="A510" t="s">
        <v>591</v>
      </c>
      <c r="B510" s="1">
        <v>3409</v>
      </c>
      <c r="C510" s="1">
        <f t="shared" si="14"/>
        <v>1804</v>
      </c>
      <c r="D510">
        <v>1605</v>
      </c>
      <c r="E510">
        <v>20</v>
      </c>
      <c r="F510" t="s">
        <v>15</v>
      </c>
      <c r="G510" t="s">
        <v>16</v>
      </c>
      <c r="H510" t="s">
        <v>17</v>
      </c>
      <c r="I510" s="2">
        <v>44156</v>
      </c>
      <c r="J510" t="s">
        <v>593</v>
      </c>
      <c r="K510" t="s">
        <v>23</v>
      </c>
      <c r="L510" t="s">
        <v>174</v>
      </c>
      <c r="M510" t="s">
        <v>82</v>
      </c>
      <c r="N510" t="str">
        <f t="shared" si="15"/>
        <v>November</v>
      </c>
    </row>
    <row r="511" spans="1:14" x14ac:dyDescent="0.3">
      <c r="A511" t="s">
        <v>591</v>
      </c>
      <c r="B511" s="1">
        <v>3409</v>
      </c>
      <c r="C511" s="1">
        <f t="shared" si="14"/>
        <v>1804</v>
      </c>
      <c r="D511">
        <v>1605</v>
      </c>
      <c r="E511">
        <v>20</v>
      </c>
      <c r="F511" t="s">
        <v>15</v>
      </c>
      <c r="G511" t="s">
        <v>16</v>
      </c>
      <c r="H511" t="s">
        <v>17</v>
      </c>
      <c r="I511" s="2">
        <v>45566</v>
      </c>
      <c r="J511" t="s">
        <v>594</v>
      </c>
      <c r="K511" t="s">
        <v>19</v>
      </c>
      <c r="L511" t="s">
        <v>20</v>
      </c>
      <c r="M511" t="s">
        <v>362</v>
      </c>
      <c r="N511" t="str">
        <f t="shared" si="15"/>
        <v>October</v>
      </c>
    </row>
    <row r="512" spans="1:14" x14ac:dyDescent="0.3">
      <c r="A512" t="s">
        <v>591</v>
      </c>
      <c r="B512" s="1">
        <v>3409</v>
      </c>
      <c r="C512" s="1">
        <f t="shared" si="14"/>
        <v>1804</v>
      </c>
      <c r="D512">
        <v>1605</v>
      </c>
      <c r="E512">
        <v>20</v>
      </c>
      <c r="F512" t="s">
        <v>15</v>
      </c>
      <c r="G512" t="s">
        <v>16</v>
      </c>
      <c r="H512" t="s">
        <v>17</v>
      </c>
      <c r="I512" s="2">
        <v>45474</v>
      </c>
      <c r="J512" t="s">
        <v>595</v>
      </c>
      <c r="K512" t="s">
        <v>73</v>
      </c>
      <c r="L512" t="s">
        <v>140</v>
      </c>
      <c r="M512" t="s">
        <v>217</v>
      </c>
      <c r="N512" t="str">
        <f t="shared" si="15"/>
        <v>July</v>
      </c>
    </row>
    <row r="513" spans="1:14" x14ac:dyDescent="0.3">
      <c r="A513" t="s">
        <v>596</v>
      </c>
      <c r="B513" s="1">
        <v>9751</v>
      </c>
      <c r="C513" s="1">
        <f t="shared" si="14"/>
        <v>7292</v>
      </c>
      <c r="D513">
        <v>2459</v>
      </c>
      <c r="E513">
        <v>13</v>
      </c>
      <c r="F513" t="s">
        <v>32</v>
      </c>
      <c r="G513" t="s">
        <v>33</v>
      </c>
      <c r="H513" t="s">
        <v>67</v>
      </c>
      <c r="I513" s="2">
        <v>44158</v>
      </c>
      <c r="J513" t="s">
        <v>597</v>
      </c>
      <c r="K513" t="s">
        <v>27</v>
      </c>
      <c r="L513" t="s">
        <v>28</v>
      </c>
      <c r="M513" t="s">
        <v>82</v>
      </c>
      <c r="N513" t="str">
        <f t="shared" si="15"/>
        <v>November</v>
      </c>
    </row>
    <row r="514" spans="1:14" x14ac:dyDescent="0.3">
      <c r="A514" t="s">
        <v>598</v>
      </c>
      <c r="B514" s="1">
        <v>6385</v>
      </c>
      <c r="C514" s="1">
        <f t="shared" ref="C514:C577" si="16">B514-D514</f>
        <v>3729</v>
      </c>
      <c r="D514">
        <v>2656</v>
      </c>
      <c r="E514">
        <v>11</v>
      </c>
      <c r="F514" t="s">
        <v>15</v>
      </c>
      <c r="G514" t="s">
        <v>30</v>
      </c>
      <c r="H514" t="s">
        <v>49</v>
      </c>
      <c r="I514" s="2">
        <v>45003</v>
      </c>
      <c r="J514" t="s">
        <v>599</v>
      </c>
      <c r="K514" t="s">
        <v>19</v>
      </c>
      <c r="L514" t="s">
        <v>36</v>
      </c>
      <c r="M514" t="s">
        <v>247</v>
      </c>
      <c r="N514" t="str">
        <f t="shared" si="15"/>
        <v>March</v>
      </c>
    </row>
    <row r="515" spans="1:14" x14ac:dyDescent="0.3">
      <c r="A515" t="s">
        <v>598</v>
      </c>
      <c r="B515" s="1">
        <v>6385</v>
      </c>
      <c r="C515" s="1">
        <f t="shared" si="16"/>
        <v>3729</v>
      </c>
      <c r="D515">
        <v>2656</v>
      </c>
      <c r="E515">
        <v>11</v>
      </c>
      <c r="F515" t="s">
        <v>15</v>
      </c>
      <c r="G515" t="s">
        <v>30</v>
      </c>
      <c r="H515" t="s">
        <v>49</v>
      </c>
      <c r="I515" s="2">
        <v>44853</v>
      </c>
      <c r="J515" t="s">
        <v>600</v>
      </c>
      <c r="K515" t="s">
        <v>19</v>
      </c>
      <c r="L515" t="s">
        <v>152</v>
      </c>
      <c r="M515" t="s">
        <v>98</v>
      </c>
      <c r="N515" t="str">
        <f t="shared" ref="N515:N578" si="17">TEXT(DATE(LEFT(M515,4),RIGHT(M515,2),1),"mmmm")</f>
        <v>October</v>
      </c>
    </row>
    <row r="516" spans="1:14" x14ac:dyDescent="0.3">
      <c r="A516" t="s">
        <v>601</v>
      </c>
      <c r="B516" s="1">
        <v>6355</v>
      </c>
      <c r="C516" s="1">
        <f t="shared" si="16"/>
        <v>5020</v>
      </c>
      <c r="D516">
        <v>1335</v>
      </c>
      <c r="E516">
        <v>15</v>
      </c>
      <c r="F516" t="s">
        <v>15</v>
      </c>
      <c r="G516" t="s">
        <v>16</v>
      </c>
      <c r="H516" t="s">
        <v>34</v>
      </c>
      <c r="I516" s="2">
        <v>45169</v>
      </c>
      <c r="J516" t="s">
        <v>602</v>
      </c>
      <c r="K516" t="s">
        <v>73</v>
      </c>
      <c r="L516" t="s">
        <v>88</v>
      </c>
      <c r="M516" t="s">
        <v>123</v>
      </c>
      <c r="N516" t="str">
        <f t="shared" si="17"/>
        <v>August</v>
      </c>
    </row>
    <row r="517" spans="1:14" x14ac:dyDescent="0.3">
      <c r="A517" t="s">
        <v>601</v>
      </c>
      <c r="B517" s="1">
        <v>6355</v>
      </c>
      <c r="C517" s="1">
        <f t="shared" si="16"/>
        <v>5020</v>
      </c>
      <c r="D517">
        <v>1335</v>
      </c>
      <c r="E517">
        <v>15</v>
      </c>
      <c r="F517" t="s">
        <v>15</v>
      </c>
      <c r="G517" t="s">
        <v>16</v>
      </c>
      <c r="H517" t="s">
        <v>34</v>
      </c>
      <c r="I517" s="2">
        <v>44353</v>
      </c>
      <c r="J517" t="s">
        <v>603</v>
      </c>
      <c r="K517" t="s">
        <v>73</v>
      </c>
      <c r="L517" t="s">
        <v>88</v>
      </c>
      <c r="M517" t="s">
        <v>127</v>
      </c>
      <c r="N517" t="str">
        <f t="shared" si="17"/>
        <v>June</v>
      </c>
    </row>
    <row r="518" spans="1:14" x14ac:dyDescent="0.3">
      <c r="A518" t="s">
        <v>604</v>
      </c>
      <c r="B518" s="1">
        <v>7377</v>
      </c>
      <c r="C518" s="1">
        <f t="shared" si="16"/>
        <v>7057</v>
      </c>
      <c r="D518">
        <v>320</v>
      </c>
      <c r="E518">
        <v>15</v>
      </c>
      <c r="F518" t="s">
        <v>15</v>
      </c>
      <c r="G518" t="s">
        <v>30</v>
      </c>
      <c r="H518" t="s">
        <v>34</v>
      </c>
      <c r="I518" s="2">
        <v>44916</v>
      </c>
      <c r="J518" t="s">
        <v>605</v>
      </c>
      <c r="K518" t="s">
        <v>73</v>
      </c>
      <c r="L518" t="s">
        <v>88</v>
      </c>
      <c r="M518" t="s">
        <v>154</v>
      </c>
      <c r="N518" t="str">
        <f t="shared" si="17"/>
        <v>December</v>
      </c>
    </row>
    <row r="519" spans="1:14" x14ac:dyDescent="0.3">
      <c r="A519" t="s">
        <v>604</v>
      </c>
      <c r="B519" s="1">
        <v>2054</v>
      </c>
      <c r="C519" s="1">
        <f t="shared" si="16"/>
        <v>1683</v>
      </c>
      <c r="D519">
        <v>371</v>
      </c>
      <c r="E519">
        <v>12</v>
      </c>
      <c r="F519" t="s">
        <v>32</v>
      </c>
      <c r="G519" t="s">
        <v>59</v>
      </c>
      <c r="H519" t="s">
        <v>42</v>
      </c>
      <c r="I519" s="2">
        <v>44916</v>
      </c>
      <c r="J519" t="s">
        <v>605</v>
      </c>
      <c r="K519" t="s">
        <v>73</v>
      </c>
      <c r="L519" t="s">
        <v>88</v>
      </c>
      <c r="M519" t="s">
        <v>154</v>
      </c>
      <c r="N519" t="str">
        <f t="shared" si="17"/>
        <v>December</v>
      </c>
    </row>
    <row r="520" spans="1:14" x14ac:dyDescent="0.3">
      <c r="A520" t="s">
        <v>606</v>
      </c>
      <c r="B520" s="1">
        <v>7497</v>
      </c>
      <c r="C520" s="1">
        <f t="shared" si="16"/>
        <v>7178</v>
      </c>
      <c r="D520">
        <v>319</v>
      </c>
      <c r="E520">
        <v>18</v>
      </c>
      <c r="F520" t="s">
        <v>47</v>
      </c>
      <c r="G520" t="s">
        <v>51</v>
      </c>
      <c r="H520" t="s">
        <v>67</v>
      </c>
      <c r="I520" s="2">
        <v>45334</v>
      </c>
      <c r="J520" t="s">
        <v>607</v>
      </c>
      <c r="K520" t="s">
        <v>23</v>
      </c>
      <c r="L520" t="s">
        <v>174</v>
      </c>
      <c r="M520" t="s">
        <v>220</v>
      </c>
      <c r="N520" t="str">
        <f t="shared" si="17"/>
        <v>February</v>
      </c>
    </row>
    <row r="521" spans="1:14" x14ac:dyDescent="0.3">
      <c r="A521" t="s">
        <v>608</v>
      </c>
      <c r="B521" s="1">
        <v>2565</v>
      </c>
      <c r="C521" s="1">
        <f t="shared" si="16"/>
        <v>1582</v>
      </c>
      <c r="D521">
        <v>983</v>
      </c>
      <c r="E521">
        <v>20</v>
      </c>
      <c r="F521" t="s">
        <v>15</v>
      </c>
      <c r="G521" t="s">
        <v>16</v>
      </c>
      <c r="H521" t="s">
        <v>34</v>
      </c>
      <c r="I521" s="2">
        <v>44900</v>
      </c>
      <c r="J521" t="s">
        <v>609</v>
      </c>
      <c r="K521" t="s">
        <v>19</v>
      </c>
      <c r="L521" t="s">
        <v>20</v>
      </c>
      <c r="M521" t="s">
        <v>154</v>
      </c>
      <c r="N521" t="str">
        <f t="shared" si="17"/>
        <v>December</v>
      </c>
    </row>
    <row r="522" spans="1:14" x14ac:dyDescent="0.3">
      <c r="A522" t="s">
        <v>608</v>
      </c>
      <c r="B522" s="1">
        <v>5024</v>
      </c>
      <c r="C522" s="1">
        <f t="shared" si="16"/>
        <v>3480</v>
      </c>
      <c r="D522">
        <v>1544</v>
      </c>
      <c r="E522">
        <v>19</v>
      </c>
      <c r="F522" t="s">
        <v>32</v>
      </c>
      <c r="G522" t="s">
        <v>33</v>
      </c>
      <c r="H522" t="s">
        <v>67</v>
      </c>
      <c r="I522" s="2">
        <v>44900</v>
      </c>
      <c r="J522" t="s">
        <v>609</v>
      </c>
      <c r="K522" t="s">
        <v>19</v>
      </c>
      <c r="L522" t="s">
        <v>20</v>
      </c>
      <c r="M522" t="s">
        <v>154</v>
      </c>
      <c r="N522" t="str">
        <f t="shared" si="17"/>
        <v>December</v>
      </c>
    </row>
    <row r="523" spans="1:14" x14ac:dyDescent="0.3">
      <c r="A523" t="s">
        <v>610</v>
      </c>
      <c r="B523" s="1">
        <v>8243</v>
      </c>
      <c r="C523" s="1">
        <f t="shared" si="16"/>
        <v>6897</v>
      </c>
      <c r="D523">
        <v>1346</v>
      </c>
      <c r="E523">
        <v>15</v>
      </c>
      <c r="F523" t="s">
        <v>32</v>
      </c>
      <c r="G523" t="s">
        <v>80</v>
      </c>
      <c r="H523" t="s">
        <v>34</v>
      </c>
      <c r="I523" s="2">
        <v>44290</v>
      </c>
      <c r="J523" t="s">
        <v>611</v>
      </c>
      <c r="K523" t="s">
        <v>73</v>
      </c>
      <c r="L523" t="s">
        <v>140</v>
      </c>
      <c r="M523" t="s">
        <v>141</v>
      </c>
      <c r="N523" t="str">
        <f t="shared" si="17"/>
        <v>April</v>
      </c>
    </row>
    <row r="524" spans="1:14" x14ac:dyDescent="0.3">
      <c r="A524" t="s">
        <v>612</v>
      </c>
      <c r="B524" s="1">
        <v>7792</v>
      </c>
      <c r="C524" s="1">
        <f t="shared" si="16"/>
        <v>6389</v>
      </c>
      <c r="D524">
        <v>1403</v>
      </c>
      <c r="E524">
        <v>13</v>
      </c>
      <c r="F524" t="s">
        <v>32</v>
      </c>
      <c r="G524" t="s">
        <v>66</v>
      </c>
      <c r="H524" t="s">
        <v>17</v>
      </c>
      <c r="I524" s="2">
        <v>44239</v>
      </c>
      <c r="J524" t="s">
        <v>613</v>
      </c>
      <c r="K524" t="s">
        <v>23</v>
      </c>
      <c r="L524" t="s">
        <v>174</v>
      </c>
      <c r="M524" t="s">
        <v>294</v>
      </c>
      <c r="N524" t="str">
        <f t="shared" si="17"/>
        <v>February</v>
      </c>
    </row>
    <row r="525" spans="1:14" x14ac:dyDescent="0.3">
      <c r="A525" t="s">
        <v>612</v>
      </c>
      <c r="B525" s="1">
        <v>7792</v>
      </c>
      <c r="C525" s="1">
        <f t="shared" si="16"/>
        <v>6389</v>
      </c>
      <c r="D525">
        <v>1403</v>
      </c>
      <c r="E525">
        <v>13</v>
      </c>
      <c r="F525" t="s">
        <v>32</v>
      </c>
      <c r="G525" t="s">
        <v>66</v>
      </c>
      <c r="H525" t="s">
        <v>17</v>
      </c>
      <c r="I525" s="2">
        <v>44922</v>
      </c>
      <c r="J525" t="s">
        <v>614</v>
      </c>
      <c r="K525" t="s">
        <v>27</v>
      </c>
      <c r="L525" t="s">
        <v>70</v>
      </c>
      <c r="M525" t="s">
        <v>154</v>
      </c>
      <c r="N525" t="str">
        <f t="shared" si="17"/>
        <v>December</v>
      </c>
    </row>
    <row r="526" spans="1:14" x14ac:dyDescent="0.3">
      <c r="A526" t="s">
        <v>612</v>
      </c>
      <c r="B526" s="1">
        <v>7792</v>
      </c>
      <c r="C526" s="1">
        <f t="shared" si="16"/>
        <v>6389</v>
      </c>
      <c r="D526">
        <v>1403</v>
      </c>
      <c r="E526">
        <v>13</v>
      </c>
      <c r="F526" t="s">
        <v>32</v>
      </c>
      <c r="G526" t="s">
        <v>66</v>
      </c>
      <c r="H526" t="s">
        <v>17</v>
      </c>
      <c r="I526" s="2">
        <v>45310</v>
      </c>
      <c r="J526" t="s">
        <v>615</v>
      </c>
      <c r="K526" t="s">
        <v>44</v>
      </c>
      <c r="L526" t="s">
        <v>77</v>
      </c>
      <c r="M526" t="s">
        <v>78</v>
      </c>
      <c r="N526" t="str">
        <f t="shared" si="17"/>
        <v>January</v>
      </c>
    </row>
    <row r="527" spans="1:14" x14ac:dyDescent="0.3">
      <c r="A527" t="s">
        <v>612</v>
      </c>
      <c r="B527" s="1">
        <v>2346</v>
      </c>
      <c r="C527" s="1">
        <f t="shared" si="16"/>
        <v>1958</v>
      </c>
      <c r="D527">
        <v>388</v>
      </c>
      <c r="E527">
        <v>14</v>
      </c>
      <c r="F527" t="s">
        <v>47</v>
      </c>
      <c r="G527" t="s">
        <v>51</v>
      </c>
      <c r="H527" t="s">
        <v>34</v>
      </c>
      <c r="I527" s="2">
        <v>44239</v>
      </c>
      <c r="J527" t="s">
        <v>613</v>
      </c>
      <c r="K527" t="s">
        <v>23</v>
      </c>
      <c r="L527" t="s">
        <v>174</v>
      </c>
      <c r="M527" t="s">
        <v>294</v>
      </c>
      <c r="N527" t="str">
        <f t="shared" si="17"/>
        <v>February</v>
      </c>
    </row>
    <row r="528" spans="1:14" x14ac:dyDescent="0.3">
      <c r="A528" t="s">
        <v>612</v>
      </c>
      <c r="B528" s="1">
        <v>2346</v>
      </c>
      <c r="C528" s="1">
        <f t="shared" si="16"/>
        <v>1958</v>
      </c>
      <c r="D528">
        <v>388</v>
      </c>
      <c r="E528">
        <v>14</v>
      </c>
      <c r="F528" t="s">
        <v>47</v>
      </c>
      <c r="G528" t="s">
        <v>51</v>
      </c>
      <c r="H528" t="s">
        <v>34</v>
      </c>
      <c r="I528" s="2">
        <v>44922</v>
      </c>
      <c r="J528" t="s">
        <v>614</v>
      </c>
      <c r="K528" t="s">
        <v>27</v>
      </c>
      <c r="L528" t="s">
        <v>70</v>
      </c>
      <c r="M528" t="s">
        <v>154</v>
      </c>
      <c r="N528" t="str">
        <f t="shared" si="17"/>
        <v>December</v>
      </c>
    </row>
    <row r="529" spans="1:14" x14ac:dyDescent="0.3">
      <c r="A529" t="s">
        <v>612</v>
      </c>
      <c r="B529" s="1">
        <v>2346</v>
      </c>
      <c r="C529" s="1">
        <f t="shared" si="16"/>
        <v>1958</v>
      </c>
      <c r="D529">
        <v>388</v>
      </c>
      <c r="E529">
        <v>14</v>
      </c>
      <c r="F529" t="s">
        <v>47</v>
      </c>
      <c r="G529" t="s">
        <v>51</v>
      </c>
      <c r="H529" t="s">
        <v>34</v>
      </c>
      <c r="I529" s="2">
        <v>45310</v>
      </c>
      <c r="J529" t="s">
        <v>615</v>
      </c>
      <c r="K529" t="s">
        <v>44</v>
      </c>
      <c r="L529" t="s">
        <v>77</v>
      </c>
      <c r="M529" t="s">
        <v>78</v>
      </c>
      <c r="N529" t="str">
        <f t="shared" si="17"/>
        <v>January</v>
      </c>
    </row>
    <row r="530" spans="1:14" x14ac:dyDescent="0.3">
      <c r="A530" t="s">
        <v>616</v>
      </c>
      <c r="B530" s="1">
        <v>7346</v>
      </c>
      <c r="C530" s="1">
        <f t="shared" si="16"/>
        <v>6303</v>
      </c>
      <c r="D530">
        <v>1043</v>
      </c>
      <c r="E530">
        <v>10</v>
      </c>
      <c r="F530" t="s">
        <v>47</v>
      </c>
      <c r="G530" t="s">
        <v>62</v>
      </c>
      <c r="H530" t="s">
        <v>49</v>
      </c>
      <c r="I530" s="2">
        <v>44920</v>
      </c>
      <c r="J530" t="s">
        <v>617</v>
      </c>
      <c r="K530" t="s">
        <v>100</v>
      </c>
      <c r="L530" t="s">
        <v>101</v>
      </c>
      <c r="M530" t="s">
        <v>154</v>
      </c>
      <c r="N530" t="str">
        <f t="shared" si="17"/>
        <v>December</v>
      </c>
    </row>
    <row r="531" spans="1:14" x14ac:dyDescent="0.3">
      <c r="A531" t="s">
        <v>616</v>
      </c>
      <c r="B531" s="1">
        <v>9770</v>
      </c>
      <c r="C531" s="1">
        <f t="shared" si="16"/>
        <v>5638</v>
      </c>
      <c r="D531">
        <v>4132</v>
      </c>
      <c r="E531">
        <v>7</v>
      </c>
      <c r="F531" t="s">
        <v>15</v>
      </c>
      <c r="G531" t="s">
        <v>16</v>
      </c>
      <c r="H531" t="s">
        <v>17</v>
      </c>
      <c r="I531" s="2">
        <v>44920</v>
      </c>
      <c r="J531" t="s">
        <v>617</v>
      </c>
      <c r="K531" t="s">
        <v>100</v>
      </c>
      <c r="L531" t="s">
        <v>101</v>
      </c>
      <c r="M531" t="s">
        <v>154</v>
      </c>
      <c r="N531" t="str">
        <f t="shared" si="17"/>
        <v>December</v>
      </c>
    </row>
    <row r="532" spans="1:14" x14ac:dyDescent="0.3">
      <c r="A532" t="s">
        <v>616</v>
      </c>
      <c r="B532" s="1">
        <v>7179</v>
      </c>
      <c r="C532" s="1">
        <f t="shared" si="16"/>
        <v>6496</v>
      </c>
      <c r="D532">
        <v>683</v>
      </c>
      <c r="E532">
        <v>13</v>
      </c>
      <c r="F532" t="s">
        <v>15</v>
      </c>
      <c r="G532" t="s">
        <v>41</v>
      </c>
      <c r="H532" t="s">
        <v>49</v>
      </c>
      <c r="I532" s="2">
        <v>44920</v>
      </c>
      <c r="J532" t="s">
        <v>617</v>
      </c>
      <c r="K532" t="s">
        <v>100</v>
      </c>
      <c r="L532" t="s">
        <v>101</v>
      </c>
      <c r="M532" t="s">
        <v>154</v>
      </c>
      <c r="N532" t="str">
        <f t="shared" si="17"/>
        <v>December</v>
      </c>
    </row>
    <row r="533" spans="1:14" x14ac:dyDescent="0.3">
      <c r="A533" t="s">
        <v>618</v>
      </c>
      <c r="B533" s="1">
        <v>5449</v>
      </c>
      <c r="C533" s="1">
        <f t="shared" si="16"/>
        <v>3060</v>
      </c>
      <c r="D533">
        <v>2389</v>
      </c>
      <c r="E533">
        <v>2</v>
      </c>
      <c r="F533" t="s">
        <v>15</v>
      </c>
      <c r="G533" t="s">
        <v>84</v>
      </c>
      <c r="H533" t="s">
        <v>17</v>
      </c>
      <c r="I533" s="2">
        <v>44840</v>
      </c>
      <c r="J533" t="s">
        <v>619</v>
      </c>
      <c r="K533" t="s">
        <v>19</v>
      </c>
      <c r="L533" t="s">
        <v>20</v>
      </c>
      <c r="M533" t="s">
        <v>98</v>
      </c>
      <c r="N533" t="str">
        <f t="shared" si="17"/>
        <v>October</v>
      </c>
    </row>
    <row r="534" spans="1:14" x14ac:dyDescent="0.3">
      <c r="A534" t="s">
        <v>620</v>
      </c>
      <c r="B534" s="1">
        <v>2895</v>
      </c>
      <c r="C534" s="1">
        <f t="shared" si="16"/>
        <v>2791</v>
      </c>
      <c r="D534">
        <v>104</v>
      </c>
      <c r="E534">
        <v>6</v>
      </c>
      <c r="F534" t="s">
        <v>47</v>
      </c>
      <c r="G534" t="s">
        <v>51</v>
      </c>
      <c r="H534" t="s">
        <v>67</v>
      </c>
      <c r="I534" s="2">
        <v>43948</v>
      </c>
      <c r="J534" t="s">
        <v>621</v>
      </c>
      <c r="K534" t="s">
        <v>27</v>
      </c>
      <c r="L534" t="s">
        <v>28</v>
      </c>
      <c r="M534" t="s">
        <v>164</v>
      </c>
      <c r="N534" t="str">
        <f t="shared" si="17"/>
        <v>April</v>
      </c>
    </row>
    <row r="535" spans="1:14" x14ac:dyDescent="0.3">
      <c r="A535" t="s">
        <v>620</v>
      </c>
      <c r="B535" s="1">
        <v>2895</v>
      </c>
      <c r="C535" s="1">
        <f t="shared" si="16"/>
        <v>2791</v>
      </c>
      <c r="D535">
        <v>104</v>
      </c>
      <c r="E535">
        <v>6</v>
      </c>
      <c r="F535" t="s">
        <v>47</v>
      </c>
      <c r="G535" t="s">
        <v>51</v>
      </c>
      <c r="H535" t="s">
        <v>67</v>
      </c>
      <c r="I535" s="2">
        <v>45425</v>
      </c>
      <c r="J535" t="s">
        <v>622</v>
      </c>
      <c r="K535" t="s">
        <v>73</v>
      </c>
      <c r="L535" t="s">
        <v>140</v>
      </c>
      <c r="M535" t="s">
        <v>37</v>
      </c>
      <c r="N535" t="str">
        <f t="shared" si="17"/>
        <v>May</v>
      </c>
    </row>
    <row r="536" spans="1:14" x14ac:dyDescent="0.3">
      <c r="A536" t="s">
        <v>620</v>
      </c>
      <c r="B536" s="1">
        <v>697</v>
      </c>
      <c r="C536" s="1">
        <f t="shared" si="16"/>
        <v>581</v>
      </c>
      <c r="D536">
        <v>116</v>
      </c>
      <c r="E536">
        <v>1</v>
      </c>
      <c r="F536" t="s">
        <v>47</v>
      </c>
      <c r="G536" t="s">
        <v>51</v>
      </c>
      <c r="H536" t="s">
        <v>17</v>
      </c>
      <c r="I536" s="2">
        <v>43948</v>
      </c>
      <c r="J536" t="s">
        <v>621</v>
      </c>
      <c r="K536" t="s">
        <v>27</v>
      </c>
      <c r="L536" t="s">
        <v>28</v>
      </c>
      <c r="M536" t="s">
        <v>164</v>
      </c>
      <c r="N536" t="str">
        <f t="shared" si="17"/>
        <v>April</v>
      </c>
    </row>
    <row r="537" spans="1:14" x14ac:dyDescent="0.3">
      <c r="A537" t="s">
        <v>620</v>
      </c>
      <c r="B537" s="1">
        <v>697</v>
      </c>
      <c r="C537" s="1">
        <f t="shared" si="16"/>
        <v>581</v>
      </c>
      <c r="D537">
        <v>116</v>
      </c>
      <c r="E537">
        <v>1</v>
      </c>
      <c r="F537" t="s">
        <v>47</v>
      </c>
      <c r="G537" t="s">
        <v>51</v>
      </c>
      <c r="H537" t="s">
        <v>17</v>
      </c>
      <c r="I537" s="2">
        <v>45425</v>
      </c>
      <c r="J537" t="s">
        <v>622</v>
      </c>
      <c r="K537" t="s">
        <v>73</v>
      </c>
      <c r="L537" t="s">
        <v>140</v>
      </c>
      <c r="M537" t="s">
        <v>37</v>
      </c>
      <c r="N537" t="str">
        <f t="shared" si="17"/>
        <v>May</v>
      </c>
    </row>
    <row r="538" spans="1:14" x14ac:dyDescent="0.3">
      <c r="A538" t="s">
        <v>623</v>
      </c>
      <c r="B538" s="1">
        <v>6145</v>
      </c>
      <c r="C538" s="1">
        <f t="shared" si="16"/>
        <v>4731</v>
      </c>
      <c r="D538">
        <v>1414</v>
      </c>
      <c r="E538">
        <v>4</v>
      </c>
      <c r="F538" t="s">
        <v>47</v>
      </c>
      <c r="G538" t="s">
        <v>51</v>
      </c>
      <c r="H538" t="s">
        <v>67</v>
      </c>
      <c r="I538" s="2">
        <v>44127</v>
      </c>
      <c r="J538" t="s">
        <v>624</v>
      </c>
      <c r="K538" t="s">
        <v>44</v>
      </c>
      <c r="L538" t="s">
        <v>45</v>
      </c>
      <c r="M538" t="s">
        <v>121</v>
      </c>
      <c r="N538" t="str">
        <f t="shared" si="17"/>
        <v>October</v>
      </c>
    </row>
    <row r="539" spans="1:14" x14ac:dyDescent="0.3">
      <c r="A539" t="s">
        <v>623</v>
      </c>
      <c r="B539" s="1">
        <v>2504</v>
      </c>
      <c r="C539" s="1">
        <f t="shared" si="16"/>
        <v>2064</v>
      </c>
      <c r="D539">
        <v>440</v>
      </c>
      <c r="E539">
        <v>18</v>
      </c>
      <c r="F539" t="s">
        <v>15</v>
      </c>
      <c r="G539" t="s">
        <v>30</v>
      </c>
      <c r="H539" t="s">
        <v>17</v>
      </c>
      <c r="I539" s="2">
        <v>44127</v>
      </c>
      <c r="J539" t="s">
        <v>624</v>
      </c>
      <c r="K539" t="s">
        <v>44</v>
      </c>
      <c r="L539" t="s">
        <v>45</v>
      </c>
      <c r="M539" t="s">
        <v>121</v>
      </c>
      <c r="N539" t="str">
        <f t="shared" si="17"/>
        <v>October</v>
      </c>
    </row>
    <row r="540" spans="1:14" x14ac:dyDescent="0.3">
      <c r="A540" t="s">
        <v>623</v>
      </c>
      <c r="B540" s="1">
        <v>3124</v>
      </c>
      <c r="C540" s="1">
        <f t="shared" si="16"/>
        <v>2986</v>
      </c>
      <c r="D540">
        <v>138</v>
      </c>
      <c r="E540">
        <v>16</v>
      </c>
      <c r="F540" t="s">
        <v>15</v>
      </c>
      <c r="G540" t="s">
        <v>84</v>
      </c>
      <c r="H540" t="s">
        <v>34</v>
      </c>
      <c r="I540" s="2">
        <v>44127</v>
      </c>
      <c r="J540" t="s">
        <v>624</v>
      </c>
      <c r="K540" t="s">
        <v>44</v>
      </c>
      <c r="L540" t="s">
        <v>45</v>
      </c>
      <c r="M540" t="s">
        <v>121</v>
      </c>
      <c r="N540" t="str">
        <f t="shared" si="17"/>
        <v>October</v>
      </c>
    </row>
    <row r="541" spans="1:14" x14ac:dyDescent="0.3">
      <c r="A541" t="s">
        <v>625</v>
      </c>
      <c r="B541" s="1">
        <v>6934</v>
      </c>
      <c r="C541" s="1">
        <f t="shared" si="16"/>
        <v>5708</v>
      </c>
      <c r="D541">
        <v>1226</v>
      </c>
      <c r="E541">
        <v>1</v>
      </c>
      <c r="F541" t="s">
        <v>15</v>
      </c>
      <c r="G541" t="s">
        <v>16</v>
      </c>
      <c r="H541" t="s">
        <v>34</v>
      </c>
      <c r="I541" s="2">
        <v>44358</v>
      </c>
      <c r="J541" t="s">
        <v>626</v>
      </c>
      <c r="K541" t="s">
        <v>100</v>
      </c>
      <c r="L541" t="s">
        <v>109</v>
      </c>
      <c r="M541" t="s">
        <v>127</v>
      </c>
      <c r="N541" t="str">
        <f t="shared" si="17"/>
        <v>June</v>
      </c>
    </row>
    <row r="542" spans="1:14" x14ac:dyDescent="0.3">
      <c r="A542" t="s">
        <v>625</v>
      </c>
      <c r="B542" s="1">
        <v>6934</v>
      </c>
      <c r="C542" s="1">
        <f t="shared" si="16"/>
        <v>5708</v>
      </c>
      <c r="D542">
        <v>1226</v>
      </c>
      <c r="E542">
        <v>1</v>
      </c>
      <c r="F542" t="s">
        <v>15</v>
      </c>
      <c r="G542" t="s">
        <v>16</v>
      </c>
      <c r="H542" t="s">
        <v>34</v>
      </c>
      <c r="I542" s="2">
        <v>44447</v>
      </c>
      <c r="J542" t="s">
        <v>597</v>
      </c>
      <c r="K542" t="s">
        <v>27</v>
      </c>
      <c r="L542" t="s">
        <v>70</v>
      </c>
      <c r="M542" t="s">
        <v>226</v>
      </c>
      <c r="N542" t="str">
        <f t="shared" si="17"/>
        <v>September</v>
      </c>
    </row>
    <row r="543" spans="1:14" x14ac:dyDescent="0.3">
      <c r="A543" t="s">
        <v>627</v>
      </c>
      <c r="B543" s="1">
        <v>4202</v>
      </c>
      <c r="C543" s="1">
        <f t="shared" si="16"/>
        <v>3031</v>
      </c>
      <c r="D543">
        <v>1171</v>
      </c>
      <c r="E543">
        <v>3</v>
      </c>
      <c r="F543" t="s">
        <v>32</v>
      </c>
      <c r="G543" t="s">
        <v>59</v>
      </c>
      <c r="H543" t="s">
        <v>67</v>
      </c>
      <c r="I543" s="2">
        <v>44888</v>
      </c>
      <c r="J543" t="s">
        <v>628</v>
      </c>
      <c r="K543" t="s">
        <v>23</v>
      </c>
      <c r="L543" t="s">
        <v>174</v>
      </c>
      <c r="M543" t="s">
        <v>46</v>
      </c>
      <c r="N543" t="str">
        <f t="shared" si="17"/>
        <v>November</v>
      </c>
    </row>
    <row r="544" spans="1:14" x14ac:dyDescent="0.3">
      <c r="A544" t="s">
        <v>627</v>
      </c>
      <c r="B544" s="1">
        <v>4202</v>
      </c>
      <c r="C544" s="1">
        <f t="shared" si="16"/>
        <v>3031</v>
      </c>
      <c r="D544">
        <v>1171</v>
      </c>
      <c r="E544">
        <v>3</v>
      </c>
      <c r="F544" t="s">
        <v>32</v>
      </c>
      <c r="G544" t="s">
        <v>59</v>
      </c>
      <c r="H544" t="s">
        <v>67</v>
      </c>
      <c r="I544" s="2">
        <v>44865</v>
      </c>
      <c r="J544" t="s">
        <v>629</v>
      </c>
      <c r="K544" t="s">
        <v>27</v>
      </c>
      <c r="L544" t="s">
        <v>70</v>
      </c>
      <c r="M544" t="s">
        <v>98</v>
      </c>
      <c r="N544" t="str">
        <f t="shared" si="17"/>
        <v>October</v>
      </c>
    </row>
    <row r="545" spans="1:14" x14ac:dyDescent="0.3">
      <c r="A545" t="s">
        <v>627</v>
      </c>
      <c r="B545" s="1">
        <v>4202</v>
      </c>
      <c r="C545" s="1">
        <f t="shared" si="16"/>
        <v>3031</v>
      </c>
      <c r="D545">
        <v>1171</v>
      </c>
      <c r="E545">
        <v>3</v>
      </c>
      <c r="F545" t="s">
        <v>32</v>
      </c>
      <c r="G545" t="s">
        <v>59</v>
      </c>
      <c r="H545" t="s">
        <v>67</v>
      </c>
      <c r="I545" s="2">
        <v>45236</v>
      </c>
      <c r="J545" t="s">
        <v>630</v>
      </c>
      <c r="K545" t="s">
        <v>19</v>
      </c>
      <c r="L545" t="s">
        <v>152</v>
      </c>
      <c r="M545" t="s">
        <v>54</v>
      </c>
      <c r="N545" t="str">
        <f t="shared" si="17"/>
        <v>November</v>
      </c>
    </row>
    <row r="546" spans="1:14" x14ac:dyDescent="0.3">
      <c r="A546" t="s">
        <v>627</v>
      </c>
      <c r="B546" s="1">
        <v>4202</v>
      </c>
      <c r="C546" s="1">
        <f t="shared" si="16"/>
        <v>3031</v>
      </c>
      <c r="D546">
        <v>1171</v>
      </c>
      <c r="E546">
        <v>3</v>
      </c>
      <c r="F546" t="s">
        <v>32</v>
      </c>
      <c r="G546" t="s">
        <v>59</v>
      </c>
      <c r="H546" t="s">
        <v>67</v>
      </c>
      <c r="I546" s="2">
        <v>45242</v>
      </c>
      <c r="J546" t="s">
        <v>631</v>
      </c>
      <c r="K546" t="s">
        <v>73</v>
      </c>
      <c r="L546" t="s">
        <v>140</v>
      </c>
      <c r="M546" t="s">
        <v>54</v>
      </c>
      <c r="N546" t="str">
        <f t="shared" si="17"/>
        <v>November</v>
      </c>
    </row>
    <row r="547" spans="1:14" x14ac:dyDescent="0.3">
      <c r="A547" t="s">
        <v>632</v>
      </c>
      <c r="B547" s="1">
        <v>2239</v>
      </c>
      <c r="C547" s="1">
        <f t="shared" si="16"/>
        <v>1411</v>
      </c>
      <c r="D547">
        <v>828</v>
      </c>
      <c r="E547">
        <v>1</v>
      </c>
      <c r="F547" t="s">
        <v>15</v>
      </c>
      <c r="G547" t="s">
        <v>30</v>
      </c>
      <c r="H547" t="s">
        <v>17</v>
      </c>
      <c r="I547" s="2">
        <v>45103</v>
      </c>
      <c r="J547" t="s">
        <v>633</v>
      </c>
      <c r="K547" t="s">
        <v>44</v>
      </c>
      <c r="L547" t="s">
        <v>45</v>
      </c>
      <c r="M547" t="s">
        <v>21</v>
      </c>
      <c r="N547" t="str">
        <f t="shared" si="17"/>
        <v>June</v>
      </c>
    </row>
    <row r="548" spans="1:14" x14ac:dyDescent="0.3">
      <c r="A548" t="s">
        <v>632</v>
      </c>
      <c r="B548" s="1">
        <v>2239</v>
      </c>
      <c r="C548" s="1">
        <f t="shared" si="16"/>
        <v>1411</v>
      </c>
      <c r="D548">
        <v>828</v>
      </c>
      <c r="E548">
        <v>1</v>
      </c>
      <c r="F548" t="s">
        <v>15</v>
      </c>
      <c r="G548" t="s">
        <v>30</v>
      </c>
      <c r="H548" t="s">
        <v>17</v>
      </c>
      <c r="I548" s="2">
        <v>45199</v>
      </c>
      <c r="J548" t="s">
        <v>634</v>
      </c>
      <c r="K548" t="s">
        <v>23</v>
      </c>
      <c r="L548" t="s">
        <v>24</v>
      </c>
      <c r="M548" t="s">
        <v>275</v>
      </c>
      <c r="N548" t="str">
        <f t="shared" si="17"/>
        <v>September</v>
      </c>
    </row>
    <row r="549" spans="1:14" x14ac:dyDescent="0.3">
      <c r="A549" t="s">
        <v>632</v>
      </c>
      <c r="B549" s="1">
        <v>2450</v>
      </c>
      <c r="C549" s="1">
        <f t="shared" si="16"/>
        <v>1448</v>
      </c>
      <c r="D549">
        <v>1002</v>
      </c>
      <c r="E549">
        <v>4</v>
      </c>
      <c r="F549" t="s">
        <v>15</v>
      </c>
      <c r="G549" t="s">
        <v>84</v>
      </c>
      <c r="H549" t="s">
        <v>34</v>
      </c>
      <c r="I549" s="2">
        <v>45103</v>
      </c>
      <c r="J549" t="s">
        <v>633</v>
      </c>
      <c r="K549" t="s">
        <v>44</v>
      </c>
      <c r="L549" t="s">
        <v>45</v>
      </c>
      <c r="M549" t="s">
        <v>21</v>
      </c>
      <c r="N549" t="str">
        <f t="shared" si="17"/>
        <v>June</v>
      </c>
    </row>
    <row r="550" spans="1:14" x14ac:dyDescent="0.3">
      <c r="A550" t="s">
        <v>632</v>
      </c>
      <c r="B550" s="1">
        <v>2450</v>
      </c>
      <c r="C550" s="1">
        <f t="shared" si="16"/>
        <v>1448</v>
      </c>
      <c r="D550">
        <v>1002</v>
      </c>
      <c r="E550">
        <v>4</v>
      </c>
      <c r="F550" t="s">
        <v>15</v>
      </c>
      <c r="G550" t="s">
        <v>84</v>
      </c>
      <c r="H550" t="s">
        <v>34</v>
      </c>
      <c r="I550" s="2">
        <v>45199</v>
      </c>
      <c r="J550" t="s">
        <v>634</v>
      </c>
      <c r="K550" t="s">
        <v>23</v>
      </c>
      <c r="L550" t="s">
        <v>24</v>
      </c>
      <c r="M550" t="s">
        <v>275</v>
      </c>
      <c r="N550" t="str">
        <f t="shared" si="17"/>
        <v>September</v>
      </c>
    </row>
    <row r="551" spans="1:14" x14ac:dyDescent="0.3">
      <c r="A551" t="s">
        <v>635</v>
      </c>
      <c r="B551" s="1">
        <v>9827</v>
      </c>
      <c r="C551" s="1">
        <f t="shared" si="16"/>
        <v>5619</v>
      </c>
      <c r="D551">
        <v>4208</v>
      </c>
      <c r="E551">
        <v>13</v>
      </c>
      <c r="F551" t="s">
        <v>47</v>
      </c>
      <c r="G551" t="s">
        <v>51</v>
      </c>
      <c r="H551" t="s">
        <v>34</v>
      </c>
      <c r="I551" s="2">
        <v>44086</v>
      </c>
      <c r="J551" t="s">
        <v>636</v>
      </c>
      <c r="K551" t="s">
        <v>27</v>
      </c>
      <c r="L551" t="s">
        <v>53</v>
      </c>
      <c r="M551" t="s">
        <v>391</v>
      </c>
      <c r="N551" t="str">
        <f t="shared" si="17"/>
        <v>September</v>
      </c>
    </row>
    <row r="552" spans="1:14" x14ac:dyDescent="0.3">
      <c r="A552" t="s">
        <v>635</v>
      </c>
      <c r="B552" s="1">
        <v>8077</v>
      </c>
      <c r="C552" s="1">
        <f t="shared" si="16"/>
        <v>7837</v>
      </c>
      <c r="D552">
        <v>240</v>
      </c>
      <c r="E552">
        <v>15</v>
      </c>
      <c r="F552" t="s">
        <v>47</v>
      </c>
      <c r="G552" t="s">
        <v>62</v>
      </c>
      <c r="H552" t="s">
        <v>49</v>
      </c>
      <c r="I552" s="2">
        <v>44086</v>
      </c>
      <c r="J552" t="s">
        <v>636</v>
      </c>
      <c r="K552" t="s">
        <v>27</v>
      </c>
      <c r="L552" t="s">
        <v>53</v>
      </c>
      <c r="M552" t="s">
        <v>391</v>
      </c>
      <c r="N552" t="str">
        <f t="shared" si="17"/>
        <v>September</v>
      </c>
    </row>
    <row r="553" spans="1:14" x14ac:dyDescent="0.3">
      <c r="A553" t="s">
        <v>637</v>
      </c>
      <c r="B553" s="1">
        <v>5152</v>
      </c>
      <c r="C553" s="1">
        <f t="shared" si="16"/>
        <v>3107</v>
      </c>
      <c r="D553">
        <v>2045</v>
      </c>
      <c r="E553">
        <v>14</v>
      </c>
      <c r="F553" t="s">
        <v>15</v>
      </c>
      <c r="G553" t="s">
        <v>84</v>
      </c>
      <c r="H553" t="s">
        <v>17</v>
      </c>
      <c r="I553" s="2">
        <v>44162</v>
      </c>
      <c r="J553" t="s">
        <v>638</v>
      </c>
      <c r="K553" t="s">
        <v>23</v>
      </c>
      <c r="L553" t="s">
        <v>65</v>
      </c>
      <c r="M553" t="s">
        <v>82</v>
      </c>
      <c r="N553" t="str">
        <f t="shared" si="17"/>
        <v>November</v>
      </c>
    </row>
    <row r="554" spans="1:14" x14ac:dyDescent="0.3">
      <c r="A554" t="s">
        <v>637</v>
      </c>
      <c r="B554" s="1">
        <v>5152</v>
      </c>
      <c r="C554" s="1">
        <f t="shared" si="16"/>
        <v>3107</v>
      </c>
      <c r="D554">
        <v>2045</v>
      </c>
      <c r="E554">
        <v>14</v>
      </c>
      <c r="F554" t="s">
        <v>15</v>
      </c>
      <c r="G554" t="s">
        <v>84</v>
      </c>
      <c r="H554" t="s">
        <v>17</v>
      </c>
      <c r="I554" s="2">
        <v>44798</v>
      </c>
      <c r="J554" t="s">
        <v>639</v>
      </c>
      <c r="K554" t="s">
        <v>44</v>
      </c>
      <c r="L554" t="s">
        <v>45</v>
      </c>
      <c r="M554" t="s">
        <v>211</v>
      </c>
      <c r="N554" t="str">
        <f t="shared" si="17"/>
        <v>August</v>
      </c>
    </row>
    <row r="555" spans="1:14" x14ac:dyDescent="0.3">
      <c r="A555" t="s">
        <v>637</v>
      </c>
      <c r="B555" s="1">
        <v>5152</v>
      </c>
      <c r="C555" s="1">
        <f t="shared" si="16"/>
        <v>3107</v>
      </c>
      <c r="D555">
        <v>2045</v>
      </c>
      <c r="E555">
        <v>14</v>
      </c>
      <c r="F555" t="s">
        <v>15</v>
      </c>
      <c r="G555" t="s">
        <v>84</v>
      </c>
      <c r="H555" t="s">
        <v>17</v>
      </c>
      <c r="I555" s="2">
        <v>45161</v>
      </c>
      <c r="J555" t="s">
        <v>640</v>
      </c>
      <c r="K555" t="s">
        <v>23</v>
      </c>
      <c r="L555" t="s">
        <v>24</v>
      </c>
      <c r="M555" t="s">
        <v>123</v>
      </c>
      <c r="N555" t="str">
        <f t="shared" si="17"/>
        <v>August</v>
      </c>
    </row>
    <row r="556" spans="1:14" x14ac:dyDescent="0.3">
      <c r="A556" t="s">
        <v>637</v>
      </c>
      <c r="B556" s="1">
        <v>5152</v>
      </c>
      <c r="C556" s="1">
        <f t="shared" si="16"/>
        <v>3107</v>
      </c>
      <c r="D556">
        <v>2045</v>
      </c>
      <c r="E556">
        <v>14</v>
      </c>
      <c r="F556" t="s">
        <v>15</v>
      </c>
      <c r="G556" t="s">
        <v>84</v>
      </c>
      <c r="H556" t="s">
        <v>17</v>
      </c>
      <c r="I556" s="2">
        <v>45210</v>
      </c>
      <c r="J556" t="s">
        <v>641</v>
      </c>
      <c r="K556" t="s">
        <v>27</v>
      </c>
      <c r="L556" t="s">
        <v>70</v>
      </c>
      <c r="M556" t="s">
        <v>444</v>
      </c>
      <c r="N556" t="str">
        <f t="shared" si="17"/>
        <v>October</v>
      </c>
    </row>
    <row r="557" spans="1:14" x14ac:dyDescent="0.3">
      <c r="A557" t="s">
        <v>642</v>
      </c>
      <c r="B557" s="1">
        <v>2542</v>
      </c>
      <c r="C557" s="1">
        <f t="shared" si="16"/>
        <v>2352</v>
      </c>
      <c r="D557">
        <v>190</v>
      </c>
      <c r="E557">
        <v>1</v>
      </c>
      <c r="F557" t="s">
        <v>32</v>
      </c>
      <c r="G557" t="s">
        <v>59</v>
      </c>
      <c r="H557" t="s">
        <v>49</v>
      </c>
      <c r="I557" s="2">
        <v>44672</v>
      </c>
      <c r="J557" t="s">
        <v>643</v>
      </c>
      <c r="K557" t="s">
        <v>73</v>
      </c>
      <c r="L557" t="s">
        <v>140</v>
      </c>
      <c r="M557" t="s">
        <v>189</v>
      </c>
      <c r="N557" t="str">
        <f t="shared" si="17"/>
        <v>April</v>
      </c>
    </row>
    <row r="558" spans="1:14" x14ac:dyDescent="0.3">
      <c r="A558" t="s">
        <v>644</v>
      </c>
      <c r="B558" s="1">
        <v>8102</v>
      </c>
      <c r="C558" s="1">
        <f t="shared" si="16"/>
        <v>6302</v>
      </c>
      <c r="D558">
        <v>1800</v>
      </c>
      <c r="E558">
        <v>5</v>
      </c>
      <c r="F558" t="s">
        <v>32</v>
      </c>
      <c r="G558" t="s">
        <v>59</v>
      </c>
      <c r="H558" t="s">
        <v>17</v>
      </c>
      <c r="I558" s="2">
        <v>45183</v>
      </c>
      <c r="J558" t="s">
        <v>645</v>
      </c>
      <c r="K558" t="s">
        <v>44</v>
      </c>
      <c r="L558" t="s">
        <v>94</v>
      </c>
      <c r="M558" t="s">
        <v>275</v>
      </c>
      <c r="N558" t="str">
        <f t="shared" si="17"/>
        <v>September</v>
      </c>
    </row>
    <row r="559" spans="1:14" x14ac:dyDescent="0.3">
      <c r="A559" t="s">
        <v>644</v>
      </c>
      <c r="B559" s="1">
        <v>8102</v>
      </c>
      <c r="C559" s="1">
        <f t="shared" si="16"/>
        <v>6302</v>
      </c>
      <c r="D559">
        <v>1800</v>
      </c>
      <c r="E559">
        <v>5</v>
      </c>
      <c r="F559" t="s">
        <v>32</v>
      </c>
      <c r="G559" t="s">
        <v>59</v>
      </c>
      <c r="H559" t="s">
        <v>17</v>
      </c>
      <c r="I559" s="2">
        <v>43950</v>
      </c>
      <c r="J559" t="s">
        <v>646</v>
      </c>
      <c r="K559" t="s">
        <v>27</v>
      </c>
      <c r="L559" t="s">
        <v>28</v>
      </c>
      <c r="M559" t="s">
        <v>164</v>
      </c>
      <c r="N559" t="str">
        <f t="shared" si="17"/>
        <v>April</v>
      </c>
    </row>
    <row r="560" spans="1:14" x14ac:dyDescent="0.3">
      <c r="A560" t="s">
        <v>644</v>
      </c>
      <c r="B560" s="1">
        <v>8102</v>
      </c>
      <c r="C560" s="1">
        <f t="shared" si="16"/>
        <v>6302</v>
      </c>
      <c r="D560">
        <v>1800</v>
      </c>
      <c r="E560">
        <v>5</v>
      </c>
      <c r="F560" t="s">
        <v>32</v>
      </c>
      <c r="G560" t="s">
        <v>59</v>
      </c>
      <c r="H560" t="s">
        <v>17</v>
      </c>
      <c r="I560" s="2">
        <v>44180</v>
      </c>
      <c r="J560" t="s">
        <v>647</v>
      </c>
      <c r="K560" t="s">
        <v>100</v>
      </c>
      <c r="L560" t="s">
        <v>119</v>
      </c>
      <c r="M560" t="s">
        <v>289</v>
      </c>
      <c r="N560" t="str">
        <f t="shared" si="17"/>
        <v>December</v>
      </c>
    </row>
    <row r="561" spans="1:14" x14ac:dyDescent="0.3">
      <c r="A561" t="s">
        <v>644</v>
      </c>
      <c r="B561" s="1">
        <v>3234</v>
      </c>
      <c r="C561" s="1">
        <f t="shared" si="16"/>
        <v>1960</v>
      </c>
      <c r="D561">
        <v>1274</v>
      </c>
      <c r="E561">
        <v>10</v>
      </c>
      <c r="F561" t="s">
        <v>47</v>
      </c>
      <c r="G561" t="s">
        <v>48</v>
      </c>
      <c r="H561" t="s">
        <v>42</v>
      </c>
      <c r="I561" s="2">
        <v>45183</v>
      </c>
      <c r="J561" t="s">
        <v>645</v>
      </c>
      <c r="K561" t="s">
        <v>44</v>
      </c>
      <c r="L561" t="s">
        <v>94</v>
      </c>
      <c r="M561" t="s">
        <v>275</v>
      </c>
      <c r="N561" t="str">
        <f t="shared" si="17"/>
        <v>September</v>
      </c>
    </row>
    <row r="562" spans="1:14" x14ac:dyDescent="0.3">
      <c r="A562" t="s">
        <v>644</v>
      </c>
      <c r="B562" s="1">
        <v>3234</v>
      </c>
      <c r="C562" s="1">
        <f t="shared" si="16"/>
        <v>1960</v>
      </c>
      <c r="D562">
        <v>1274</v>
      </c>
      <c r="E562">
        <v>10</v>
      </c>
      <c r="F562" t="s">
        <v>47</v>
      </c>
      <c r="G562" t="s">
        <v>48</v>
      </c>
      <c r="H562" t="s">
        <v>42</v>
      </c>
      <c r="I562" s="2">
        <v>43950</v>
      </c>
      <c r="J562" t="s">
        <v>646</v>
      </c>
      <c r="K562" t="s">
        <v>27</v>
      </c>
      <c r="L562" t="s">
        <v>28</v>
      </c>
      <c r="M562" t="s">
        <v>164</v>
      </c>
      <c r="N562" t="str">
        <f t="shared" si="17"/>
        <v>April</v>
      </c>
    </row>
    <row r="563" spans="1:14" x14ac:dyDescent="0.3">
      <c r="A563" t="s">
        <v>644</v>
      </c>
      <c r="B563" s="1">
        <v>3234</v>
      </c>
      <c r="C563" s="1">
        <f t="shared" si="16"/>
        <v>1960</v>
      </c>
      <c r="D563">
        <v>1274</v>
      </c>
      <c r="E563">
        <v>10</v>
      </c>
      <c r="F563" t="s">
        <v>47</v>
      </c>
      <c r="G563" t="s">
        <v>48</v>
      </c>
      <c r="H563" t="s">
        <v>42</v>
      </c>
      <c r="I563" s="2">
        <v>44180</v>
      </c>
      <c r="J563" t="s">
        <v>647</v>
      </c>
      <c r="K563" t="s">
        <v>100</v>
      </c>
      <c r="L563" t="s">
        <v>119</v>
      </c>
      <c r="M563" t="s">
        <v>289</v>
      </c>
      <c r="N563" t="str">
        <f t="shared" si="17"/>
        <v>December</v>
      </c>
    </row>
    <row r="564" spans="1:14" x14ac:dyDescent="0.3">
      <c r="A564" t="s">
        <v>648</v>
      </c>
      <c r="B564" s="1">
        <v>6200</v>
      </c>
      <c r="C564" s="1">
        <f t="shared" si="16"/>
        <v>3879</v>
      </c>
      <c r="D564">
        <v>2321</v>
      </c>
      <c r="E564">
        <v>18</v>
      </c>
      <c r="F564" t="s">
        <v>47</v>
      </c>
      <c r="G564" t="s">
        <v>48</v>
      </c>
      <c r="H564" t="s">
        <v>49</v>
      </c>
      <c r="I564" s="2">
        <v>45484</v>
      </c>
      <c r="J564" t="s">
        <v>649</v>
      </c>
      <c r="K564" t="s">
        <v>44</v>
      </c>
      <c r="L564" t="s">
        <v>45</v>
      </c>
      <c r="M564" t="s">
        <v>217</v>
      </c>
      <c r="N564" t="str">
        <f t="shared" si="17"/>
        <v>July</v>
      </c>
    </row>
    <row r="565" spans="1:14" x14ac:dyDescent="0.3">
      <c r="A565" t="s">
        <v>648</v>
      </c>
      <c r="B565" s="1">
        <v>6200</v>
      </c>
      <c r="C565" s="1">
        <f t="shared" si="16"/>
        <v>3879</v>
      </c>
      <c r="D565">
        <v>2321</v>
      </c>
      <c r="E565">
        <v>18</v>
      </c>
      <c r="F565" t="s">
        <v>47</v>
      </c>
      <c r="G565" t="s">
        <v>48</v>
      </c>
      <c r="H565" t="s">
        <v>49</v>
      </c>
      <c r="I565" s="2">
        <v>45556</v>
      </c>
      <c r="J565" t="s">
        <v>650</v>
      </c>
      <c r="K565" t="s">
        <v>19</v>
      </c>
      <c r="L565" t="s">
        <v>20</v>
      </c>
      <c r="M565" t="s">
        <v>161</v>
      </c>
      <c r="N565" t="str">
        <f t="shared" si="17"/>
        <v>September</v>
      </c>
    </row>
    <row r="566" spans="1:14" x14ac:dyDescent="0.3">
      <c r="A566" t="s">
        <v>651</v>
      </c>
      <c r="B566" s="1">
        <v>4470</v>
      </c>
      <c r="C566" s="1">
        <f t="shared" si="16"/>
        <v>4057</v>
      </c>
      <c r="D566">
        <v>413</v>
      </c>
      <c r="E566">
        <v>13</v>
      </c>
      <c r="F566" t="s">
        <v>15</v>
      </c>
      <c r="G566" t="s">
        <v>41</v>
      </c>
      <c r="H566" t="s">
        <v>17</v>
      </c>
      <c r="I566" s="2">
        <v>45690</v>
      </c>
      <c r="J566" t="s">
        <v>652</v>
      </c>
      <c r="K566" t="s">
        <v>44</v>
      </c>
      <c r="L566" t="s">
        <v>45</v>
      </c>
      <c r="M566" t="s">
        <v>75</v>
      </c>
      <c r="N566" t="str">
        <f t="shared" si="17"/>
        <v>February</v>
      </c>
    </row>
    <row r="567" spans="1:14" x14ac:dyDescent="0.3">
      <c r="A567" t="s">
        <v>653</v>
      </c>
      <c r="B567" s="1">
        <v>916</v>
      </c>
      <c r="C567" s="1">
        <f t="shared" si="16"/>
        <v>554</v>
      </c>
      <c r="D567">
        <v>362</v>
      </c>
      <c r="E567">
        <v>7</v>
      </c>
      <c r="F567" t="s">
        <v>32</v>
      </c>
      <c r="G567" t="s">
        <v>33</v>
      </c>
      <c r="H567" t="s">
        <v>17</v>
      </c>
      <c r="I567" s="2">
        <v>44855</v>
      </c>
      <c r="J567" t="s">
        <v>654</v>
      </c>
      <c r="K567" t="s">
        <v>23</v>
      </c>
      <c r="L567" t="s">
        <v>65</v>
      </c>
      <c r="M567" t="s">
        <v>98</v>
      </c>
      <c r="N567" t="str">
        <f t="shared" si="17"/>
        <v>October</v>
      </c>
    </row>
    <row r="568" spans="1:14" x14ac:dyDescent="0.3">
      <c r="A568" t="s">
        <v>653</v>
      </c>
      <c r="B568" s="1">
        <v>916</v>
      </c>
      <c r="C568" s="1">
        <f t="shared" si="16"/>
        <v>554</v>
      </c>
      <c r="D568">
        <v>362</v>
      </c>
      <c r="E568">
        <v>7</v>
      </c>
      <c r="F568" t="s">
        <v>32</v>
      </c>
      <c r="G568" t="s">
        <v>33</v>
      </c>
      <c r="H568" t="s">
        <v>17</v>
      </c>
      <c r="I568" s="2">
        <v>44125</v>
      </c>
      <c r="J568" t="s">
        <v>655</v>
      </c>
      <c r="K568" t="s">
        <v>44</v>
      </c>
      <c r="L568" t="s">
        <v>94</v>
      </c>
      <c r="M568" t="s">
        <v>121</v>
      </c>
      <c r="N568" t="str">
        <f t="shared" si="17"/>
        <v>October</v>
      </c>
    </row>
    <row r="569" spans="1:14" x14ac:dyDescent="0.3">
      <c r="A569" t="s">
        <v>653</v>
      </c>
      <c r="B569" s="1">
        <v>1165</v>
      </c>
      <c r="C569" s="1">
        <f t="shared" si="16"/>
        <v>863</v>
      </c>
      <c r="D569">
        <v>302</v>
      </c>
      <c r="E569">
        <v>20</v>
      </c>
      <c r="F569" t="s">
        <v>47</v>
      </c>
      <c r="G569" t="s">
        <v>62</v>
      </c>
      <c r="H569" t="s">
        <v>17</v>
      </c>
      <c r="I569" s="2">
        <v>44855</v>
      </c>
      <c r="J569" t="s">
        <v>654</v>
      </c>
      <c r="K569" t="s">
        <v>23</v>
      </c>
      <c r="L569" t="s">
        <v>65</v>
      </c>
      <c r="M569" t="s">
        <v>98</v>
      </c>
      <c r="N569" t="str">
        <f t="shared" si="17"/>
        <v>October</v>
      </c>
    </row>
    <row r="570" spans="1:14" x14ac:dyDescent="0.3">
      <c r="A570" t="s">
        <v>653</v>
      </c>
      <c r="B570" s="1">
        <v>1165</v>
      </c>
      <c r="C570" s="1">
        <f t="shared" si="16"/>
        <v>863</v>
      </c>
      <c r="D570">
        <v>302</v>
      </c>
      <c r="E570">
        <v>20</v>
      </c>
      <c r="F570" t="s">
        <v>47</v>
      </c>
      <c r="G570" t="s">
        <v>62</v>
      </c>
      <c r="H570" t="s">
        <v>17</v>
      </c>
      <c r="I570" s="2">
        <v>44125</v>
      </c>
      <c r="J570" t="s">
        <v>655</v>
      </c>
      <c r="K570" t="s">
        <v>44</v>
      </c>
      <c r="L570" t="s">
        <v>94</v>
      </c>
      <c r="M570" t="s">
        <v>121</v>
      </c>
      <c r="N570" t="str">
        <f t="shared" si="17"/>
        <v>October</v>
      </c>
    </row>
    <row r="571" spans="1:14" x14ac:dyDescent="0.3">
      <c r="A571" t="s">
        <v>653</v>
      </c>
      <c r="B571" s="1">
        <v>7846</v>
      </c>
      <c r="C571" s="1">
        <f t="shared" si="16"/>
        <v>7169</v>
      </c>
      <c r="D571">
        <v>677</v>
      </c>
      <c r="E571">
        <v>12</v>
      </c>
      <c r="F571" t="s">
        <v>47</v>
      </c>
      <c r="G571" t="s">
        <v>51</v>
      </c>
      <c r="H571" t="s">
        <v>17</v>
      </c>
      <c r="I571" s="2">
        <v>44855</v>
      </c>
      <c r="J571" t="s">
        <v>654</v>
      </c>
      <c r="K571" t="s">
        <v>23</v>
      </c>
      <c r="L571" t="s">
        <v>65</v>
      </c>
      <c r="M571" t="s">
        <v>98</v>
      </c>
      <c r="N571" t="str">
        <f t="shared" si="17"/>
        <v>October</v>
      </c>
    </row>
    <row r="572" spans="1:14" x14ac:dyDescent="0.3">
      <c r="A572" t="s">
        <v>653</v>
      </c>
      <c r="B572" s="1">
        <v>7846</v>
      </c>
      <c r="C572" s="1">
        <f t="shared" si="16"/>
        <v>7169</v>
      </c>
      <c r="D572">
        <v>677</v>
      </c>
      <c r="E572">
        <v>12</v>
      </c>
      <c r="F572" t="s">
        <v>47</v>
      </c>
      <c r="G572" t="s">
        <v>51</v>
      </c>
      <c r="H572" t="s">
        <v>17</v>
      </c>
      <c r="I572" s="2">
        <v>44125</v>
      </c>
      <c r="J572" t="s">
        <v>655</v>
      </c>
      <c r="K572" t="s">
        <v>44</v>
      </c>
      <c r="L572" t="s">
        <v>94</v>
      </c>
      <c r="M572" t="s">
        <v>121</v>
      </c>
      <c r="N572" t="str">
        <f t="shared" si="17"/>
        <v>October</v>
      </c>
    </row>
    <row r="573" spans="1:14" x14ac:dyDescent="0.3">
      <c r="A573" t="s">
        <v>656</v>
      </c>
      <c r="B573" s="1">
        <v>3022</v>
      </c>
      <c r="C573" s="1">
        <f t="shared" si="16"/>
        <v>2638</v>
      </c>
      <c r="D573">
        <v>384</v>
      </c>
      <c r="E573">
        <v>1</v>
      </c>
      <c r="F573" t="s">
        <v>32</v>
      </c>
      <c r="G573" t="s">
        <v>33</v>
      </c>
      <c r="H573" t="s">
        <v>49</v>
      </c>
      <c r="I573" s="2">
        <v>44572</v>
      </c>
      <c r="J573" t="s">
        <v>657</v>
      </c>
      <c r="K573" t="s">
        <v>73</v>
      </c>
      <c r="L573" t="s">
        <v>88</v>
      </c>
      <c r="M573" t="s">
        <v>89</v>
      </c>
      <c r="N573" t="str">
        <f t="shared" si="17"/>
        <v>January</v>
      </c>
    </row>
    <row r="574" spans="1:14" x14ac:dyDescent="0.3">
      <c r="A574" t="s">
        <v>656</v>
      </c>
      <c r="B574" s="1">
        <v>3022</v>
      </c>
      <c r="C574" s="1">
        <f t="shared" si="16"/>
        <v>2638</v>
      </c>
      <c r="D574">
        <v>384</v>
      </c>
      <c r="E574">
        <v>1</v>
      </c>
      <c r="F574" t="s">
        <v>32</v>
      </c>
      <c r="G574" t="s">
        <v>33</v>
      </c>
      <c r="H574" t="s">
        <v>49</v>
      </c>
      <c r="I574" s="2">
        <v>44244</v>
      </c>
      <c r="J574" t="s">
        <v>658</v>
      </c>
      <c r="K574" t="s">
        <v>23</v>
      </c>
      <c r="L574" t="s">
        <v>24</v>
      </c>
      <c r="M574" t="s">
        <v>294</v>
      </c>
      <c r="N574" t="str">
        <f t="shared" si="17"/>
        <v>February</v>
      </c>
    </row>
    <row r="575" spans="1:14" x14ac:dyDescent="0.3">
      <c r="A575" t="s">
        <v>656</v>
      </c>
      <c r="B575" s="1">
        <v>5266</v>
      </c>
      <c r="C575" s="1">
        <f t="shared" si="16"/>
        <v>4155</v>
      </c>
      <c r="D575">
        <v>1111</v>
      </c>
      <c r="E575">
        <v>13</v>
      </c>
      <c r="F575" t="s">
        <v>15</v>
      </c>
      <c r="G575" t="s">
        <v>16</v>
      </c>
      <c r="H575" t="s">
        <v>34</v>
      </c>
      <c r="I575" s="2">
        <v>44572</v>
      </c>
      <c r="J575" t="s">
        <v>657</v>
      </c>
      <c r="K575" t="s">
        <v>73</v>
      </c>
      <c r="L575" t="s">
        <v>88</v>
      </c>
      <c r="M575" t="s">
        <v>89</v>
      </c>
      <c r="N575" t="str">
        <f t="shared" si="17"/>
        <v>January</v>
      </c>
    </row>
    <row r="576" spans="1:14" x14ac:dyDescent="0.3">
      <c r="A576" t="s">
        <v>656</v>
      </c>
      <c r="B576" s="1">
        <v>5266</v>
      </c>
      <c r="C576" s="1">
        <f t="shared" si="16"/>
        <v>4155</v>
      </c>
      <c r="D576">
        <v>1111</v>
      </c>
      <c r="E576">
        <v>13</v>
      </c>
      <c r="F576" t="s">
        <v>15</v>
      </c>
      <c r="G576" t="s">
        <v>16</v>
      </c>
      <c r="H576" t="s">
        <v>34</v>
      </c>
      <c r="I576" s="2">
        <v>44244</v>
      </c>
      <c r="J576" t="s">
        <v>658</v>
      </c>
      <c r="K576" t="s">
        <v>23</v>
      </c>
      <c r="L576" t="s">
        <v>24</v>
      </c>
      <c r="M576" t="s">
        <v>294</v>
      </c>
      <c r="N576" t="str">
        <f t="shared" si="17"/>
        <v>February</v>
      </c>
    </row>
    <row r="577" spans="1:14" x14ac:dyDescent="0.3">
      <c r="A577" t="s">
        <v>659</v>
      </c>
      <c r="B577" s="1">
        <v>4853</v>
      </c>
      <c r="C577" s="1">
        <f t="shared" si="16"/>
        <v>3089</v>
      </c>
      <c r="D577">
        <v>1764</v>
      </c>
      <c r="E577">
        <v>9</v>
      </c>
      <c r="F577" t="s">
        <v>32</v>
      </c>
      <c r="G577" t="s">
        <v>33</v>
      </c>
      <c r="H577" t="s">
        <v>34</v>
      </c>
      <c r="I577" s="2">
        <v>44506</v>
      </c>
      <c r="J577" t="s">
        <v>660</v>
      </c>
      <c r="K577" t="s">
        <v>19</v>
      </c>
      <c r="L577" t="s">
        <v>36</v>
      </c>
      <c r="M577" t="s">
        <v>177</v>
      </c>
      <c r="N577" t="str">
        <f t="shared" si="17"/>
        <v>November</v>
      </c>
    </row>
    <row r="578" spans="1:14" x14ac:dyDescent="0.3">
      <c r="A578" t="s">
        <v>659</v>
      </c>
      <c r="B578" s="1">
        <v>4853</v>
      </c>
      <c r="C578" s="1">
        <f t="shared" ref="C578:C641" si="18">B578-D578</f>
        <v>3089</v>
      </c>
      <c r="D578">
        <v>1764</v>
      </c>
      <c r="E578">
        <v>9</v>
      </c>
      <c r="F578" t="s">
        <v>32</v>
      </c>
      <c r="G578" t="s">
        <v>33</v>
      </c>
      <c r="H578" t="s">
        <v>34</v>
      </c>
      <c r="I578" s="2">
        <v>44803</v>
      </c>
      <c r="J578" t="s">
        <v>661</v>
      </c>
      <c r="K578" t="s">
        <v>73</v>
      </c>
      <c r="L578" t="s">
        <v>140</v>
      </c>
      <c r="M578" t="s">
        <v>211</v>
      </c>
      <c r="N578" t="str">
        <f t="shared" si="17"/>
        <v>August</v>
      </c>
    </row>
    <row r="579" spans="1:14" x14ac:dyDescent="0.3">
      <c r="A579" t="s">
        <v>662</v>
      </c>
      <c r="B579" s="1">
        <v>9832</v>
      </c>
      <c r="C579" s="1">
        <f t="shared" si="18"/>
        <v>8562</v>
      </c>
      <c r="D579">
        <v>1270</v>
      </c>
      <c r="E579">
        <v>1</v>
      </c>
      <c r="F579" t="s">
        <v>32</v>
      </c>
      <c r="G579" t="s">
        <v>33</v>
      </c>
      <c r="H579" t="s">
        <v>67</v>
      </c>
      <c r="I579" s="2">
        <v>44841</v>
      </c>
      <c r="J579" t="s">
        <v>663</v>
      </c>
      <c r="K579" t="s">
        <v>44</v>
      </c>
      <c r="L579" t="s">
        <v>94</v>
      </c>
      <c r="M579" t="s">
        <v>98</v>
      </c>
      <c r="N579" t="str">
        <f t="shared" ref="N579:N642" si="19">TEXT(DATE(LEFT(M579,4),RIGHT(M579,2),1),"mmmm")</f>
        <v>October</v>
      </c>
    </row>
    <row r="580" spans="1:14" x14ac:dyDescent="0.3">
      <c r="A580" t="s">
        <v>662</v>
      </c>
      <c r="B580" s="1">
        <v>796</v>
      </c>
      <c r="C580" s="1">
        <f t="shared" si="18"/>
        <v>643</v>
      </c>
      <c r="D580">
        <v>153</v>
      </c>
      <c r="E580">
        <v>15</v>
      </c>
      <c r="F580" t="s">
        <v>32</v>
      </c>
      <c r="G580" t="s">
        <v>33</v>
      </c>
      <c r="H580" t="s">
        <v>49</v>
      </c>
      <c r="I580" s="2">
        <v>44841</v>
      </c>
      <c r="J580" t="s">
        <v>663</v>
      </c>
      <c r="K580" t="s">
        <v>44</v>
      </c>
      <c r="L580" t="s">
        <v>94</v>
      </c>
      <c r="M580" t="s">
        <v>98</v>
      </c>
      <c r="N580" t="str">
        <f t="shared" si="19"/>
        <v>October</v>
      </c>
    </row>
    <row r="581" spans="1:14" x14ac:dyDescent="0.3">
      <c r="A581" t="s">
        <v>664</v>
      </c>
      <c r="B581" s="1">
        <v>883</v>
      </c>
      <c r="C581" s="1">
        <f t="shared" si="18"/>
        <v>756</v>
      </c>
      <c r="D581">
        <v>127</v>
      </c>
      <c r="E581">
        <v>7</v>
      </c>
      <c r="F581" t="s">
        <v>47</v>
      </c>
      <c r="G581" t="s">
        <v>51</v>
      </c>
      <c r="H581" t="s">
        <v>67</v>
      </c>
      <c r="I581" s="2">
        <v>45081</v>
      </c>
      <c r="J581" t="s">
        <v>665</v>
      </c>
      <c r="K581" t="s">
        <v>44</v>
      </c>
      <c r="L581" t="s">
        <v>94</v>
      </c>
      <c r="M581" t="s">
        <v>21</v>
      </c>
      <c r="N581" t="str">
        <f t="shared" si="19"/>
        <v>June</v>
      </c>
    </row>
    <row r="582" spans="1:14" x14ac:dyDescent="0.3">
      <c r="A582" t="s">
        <v>664</v>
      </c>
      <c r="B582" s="1">
        <v>4539</v>
      </c>
      <c r="C582" s="1">
        <f t="shared" si="18"/>
        <v>3384</v>
      </c>
      <c r="D582">
        <v>1155</v>
      </c>
      <c r="E582">
        <v>8</v>
      </c>
      <c r="F582" t="s">
        <v>47</v>
      </c>
      <c r="G582" t="s">
        <v>111</v>
      </c>
      <c r="H582" t="s">
        <v>34</v>
      </c>
      <c r="I582" s="2">
        <v>45081</v>
      </c>
      <c r="J582" t="s">
        <v>665</v>
      </c>
      <c r="K582" t="s">
        <v>44</v>
      </c>
      <c r="L582" t="s">
        <v>94</v>
      </c>
      <c r="M582" t="s">
        <v>21</v>
      </c>
      <c r="N582" t="str">
        <f t="shared" si="19"/>
        <v>June</v>
      </c>
    </row>
    <row r="583" spans="1:14" x14ac:dyDescent="0.3">
      <c r="A583" t="s">
        <v>664</v>
      </c>
      <c r="B583" s="1">
        <v>9659</v>
      </c>
      <c r="C583" s="1">
        <f t="shared" si="18"/>
        <v>7433</v>
      </c>
      <c r="D583">
        <v>2226</v>
      </c>
      <c r="E583">
        <v>16</v>
      </c>
      <c r="F583" t="s">
        <v>32</v>
      </c>
      <c r="G583" t="s">
        <v>80</v>
      </c>
      <c r="H583" t="s">
        <v>34</v>
      </c>
      <c r="I583" s="2">
        <v>45081</v>
      </c>
      <c r="J583" t="s">
        <v>665</v>
      </c>
      <c r="K583" t="s">
        <v>44</v>
      </c>
      <c r="L583" t="s">
        <v>94</v>
      </c>
      <c r="M583" t="s">
        <v>21</v>
      </c>
      <c r="N583" t="str">
        <f t="shared" si="19"/>
        <v>June</v>
      </c>
    </row>
    <row r="584" spans="1:14" x14ac:dyDescent="0.3">
      <c r="A584" t="s">
        <v>666</v>
      </c>
      <c r="B584" s="1">
        <v>9562</v>
      </c>
      <c r="C584" s="1">
        <f t="shared" si="18"/>
        <v>9237</v>
      </c>
      <c r="D584">
        <v>325</v>
      </c>
      <c r="E584">
        <v>2</v>
      </c>
      <c r="F584" t="s">
        <v>15</v>
      </c>
      <c r="G584" t="s">
        <v>30</v>
      </c>
      <c r="H584" t="s">
        <v>34</v>
      </c>
      <c r="I584" s="2">
        <v>44694</v>
      </c>
      <c r="J584" t="s">
        <v>667</v>
      </c>
      <c r="K584" t="s">
        <v>44</v>
      </c>
      <c r="L584" t="s">
        <v>77</v>
      </c>
      <c r="M584" t="s">
        <v>182</v>
      </c>
      <c r="N584" t="str">
        <f t="shared" si="19"/>
        <v>May</v>
      </c>
    </row>
    <row r="585" spans="1:14" x14ac:dyDescent="0.3">
      <c r="A585" t="s">
        <v>668</v>
      </c>
      <c r="B585" s="1">
        <v>4688</v>
      </c>
      <c r="C585" s="1">
        <f t="shared" si="18"/>
        <v>2847</v>
      </c>
      <c r="D585">
        <v>1841</v>
      </c>
      <c r="E585">
        <v>3</v>
      </c>
      <c r="F585" t="s">
        <v>15</v>
      </c>
      <c r="G585" t="s">
        <v>41</v>
      </c>
      <c r="H585" t="s">
        <v>49</v>
      </c>
      <c r="I585" s="2">
        <v>44949</v>
      </c>
      <c r="J585" t="s">
        <v>669</v>
      </c>
      <c r="K585" t="s">
        <v>44</v>
      </c>
      <c r="L585" t="s">
        <v>94</v>
      </c>
      <c r="M585" t="s">
        <v>335</v>
      </c>
      <c r="N585" t="str">
        <f t="shared" si="19"/>
        <v>January</v>
      </c>
    </row>
    <row r="586" spans="1:14" x14ac:dyDescent="0.3">
      <c r="A586" t="s">
        <v>668</v>
      </c>
      <c r="B586" s="1">
        <v>4688</v>
      </c>
      <c r="C586" s="1">
        <f t="shared" si="18"/>
        <v>2847</v>
      </c>
      <c r="D586">
        <v>1841</v>
      </c>
      <c r="E586">
        <v>3</v>
      </c>
      <c r="F586" t="s">
        <v>15</v>
      </c>
      <c r="G586" t="s">
        <v>41</v>
      </c>
      <c r="H586" t="s">
        <v>49</v>
      </c>
      <c r="I586" s="2">
        <v>44402</v>
      </c>
      <c r="J586" t="s">
        <v>670</v>
      </c>
      <c r="K586" t="s">
        <v>44</v>
      </c>
      <c r="L586" t="s">
        <v>77</v>
      </c>
      <c r="M586" t="s">
        <v>29</v>
      </c>
      <c r="N586" t="str">
        <f t="shared" si="19"/>
        <v>July</v>
      </c>
    </row>
    <row r="587" spans="1:14" x14ac:dyDescent="0.3">
      <c r="A587" t="s">
        <v>671</v>
      </c>
      <c r="B587" s="1">
        <v>7900</v>
      </c>
      <c r="C587" s="1">
        <f t="shared" si="18"/>
        <v>7418</v>
      </c>
      <c r="D587">
        <v>482</v>
      </c>
      <c r="E587">
        <v>4</v>
      </c>
      <c r="F587" t="s">
        <v>15</v>
      </c>
      <c r="G587" t="s">
        <v>84</v>
      </c>
      <c r="H587" t="s">
        <v>67</v>
      </c>
      <c r="I587" s="2">
        <v>45724</v>
      </c>
      <c r="J587" t="s">
        <v>672</v>
      </c>
      <c r="K587" t="s">
        <v>100</v>
      </c>
      <c r="L587" t="s">
        <v>101</v>
      </c>
      <c r="M587" t="s">
        <v>159</v>
      </c>
      <c r="N587" t="str">
        <f t="shared" si="19"/>
        <v>March</v>
      </c>
    </row>
    <row r="588" spans="1:14" x14ac:dyDescent="0.3">
      <c r="A588" t="s">
        <v>673</v>
      </c>
      <c r="B588" s="1">
        <v>6967</v>
      </c>
      <c r="C588" s="1">
        <f t="shared" si="18"/>
        <v>3710</v>
      </c>
      <c r="D588">
        <v>3257</v>
      </c>
      <c r="E588">
        <v>17</v>
      </c>
      <c r="F588" t="s">
        <v>47</v>
      </c>
      <c r="G588" t="s">
        <v>111</v>
      </c>
      <c r="H588" t="s">
        <v>67</v>
      </c>
      <c r="I588" s="2">
        <v>44920</v>
      </c>
      <c r="J588" t="s">
        <v>674</v>
      </c>
      <c r="K588" t="s">
        <v>100</v>
      </c>
      <c r="L588" t="s">
        <v>109</v>
      </c>
      <c r="M588" t="s">
        <v>154</v>
      </c>
      <c r="N588" t="str">
        <f t="shared" si="19"/>
        <v>December</v>
      </c>
    </row>
    <row r="589" spans="1:14" x14ac:dyDescent="0.3">
      <c r="A589" t="s">
        <v>673</v>
      </c>
      <c r="B589" s="1">
        <v>1091</v>
      </c>
      <c r="C589" s="1">
        <f t="shared" si="18"/>
        <v>814</v>
      </c>
      <c r="D589">
        <v>277</v>
      </c>
      <c r="E589">
        <v>6</v>
      </c>
      <c r="F589" t="s">
        <v>32</v>
      </c>
      <c r="G589" t="s">
        <v>66</v>
      </c>
      <c r="H589" t="s">
        <v>67</v>
      </c>
      <c r="I589" s="2">
        <v>44920</v>
      </c>
      <c r="J589" t="s">
        <v>674</v>
      </c>
      <c r="K589" t="s">
        <v>100</v>
      </c>
      <c r="L589" t="s">
        <v>109</v>
      </c>
      <c r="M589" t="s">
        <v>154</v>
      </c>
      <c r="N589" t="str">
        <f t="shared" si="19"/>
        <v>December</v>
      </c>
    </row>
    <row r="590" spans="1:14" x14ac:dyDescent="0.3">
      <c r="A590" t="s">
        <v>673</v>
      </c>
      <c r="B590" s="1">
        <v>6027</v>
      </c>
      <c r="C590" s="1">
        <f t="shared" si="18"/>
        <v>4497</v>
      </c>
      <c r="D590">
        <v>1530</v>
      </c>
      <c r="E590">
        <v>2</v>
      </c>
      <c r="F590" t="s">
        <v>32</v>
      </c>
      <c r="G590" t="s">
        <v>80</v>
      </c>
      <c r="H590" t="s">
        <v>49</v>
      </c>
      <c r="I590" s="2">
        <v>44920</v>
      </c>
      <c r="J590" t="s">
        <v>674</v>
      </c>
      <c r="K590" t="s">
        <v>100</v>
      </c>
      <c r="L590" t="s">
        <v>109</v>
      </c>
      <c r="M590" t="s">
        <v>154</v>
      </c>
      <c r="N590" t="str">
        <f t="shared" si="19"/>
        <v>December</v>
      </c>
    </row>
    <row r="591" spans="1:14" x14ac:dyDescent="0.3">
      <c r="A591" t="s">
        <v>675</v>
      </c>
      <c r="B591" s="1">
        <v>4852</v>
      </c>
      <c r="C591" s="1">
        <f t="shared" si="18"/>
        <v>4634</v>
      </c>
      <c r="D591">
        <v>218</v>
      </c>
      <c r="E591">
        <v>2</v>
      </c>
      <c r="F591" t="s">
        <v>47</v>
      </c>
      <c r="G591" t="s">
        <v>48</v>
      </c>
      <c r="H591" t="s">
        <v>42</v>
      </c>
      <c r="I591" s="2">
        <v>45406</v>
      </c>
      <c r="J591" t="s">
        <v>676</v>
      </c>
      <c r="K591" t="s">
        <v>73</v>
      </c>
      <c r="L591" t="s">
        <v>74</v>
      </c>
      <c r="M591" t="s">
        <v>237</v>
      </c>
      <c r="N591" t="str">
        <f t="shared" si="19"/>
        <v>April</v>
      </c>
    </row>
    <row r="592" spans="1:14" x14ac:dyDescent="0.3">
      <c r="A592" t="s">
        <v>675</v>
      </c>
      <c r="B592" s="1">
        <v>4852</v>
      </c>
      <c r="C592" s="1">
        <f t="shared" si="18"/>
        <v>4634</v>
      </c>
      <c r="D592">
        <v>218</v>
      </c>
      <c r="E592">
        <v>2</v>
      </c>
      <c r="F592" t="s">
        <v>47</v>
      </c>
      <c r="G592" t="s">
        <v>48</v>
      </c>
      <c r="H592" t="s">
        <v>42</v>
      </c>
      <c r="I592" s="2">
        <v>44554</v>
      </c>
      <c r="J592" t="s">
        <v>677</v>
      </c>
      <c r="K592" t="s">
        <v>19</v>
      </c>
      <c r="L592" t="s">
        <v>152</v>
      </c>
      <c r="M592" t="s">
        <v>92</v>
      </c>
      <c r="N592" t="str">
        <f t="shared" si="19"/>
        <v>December</v>
      </c>
    </row>
    <row r="593" spans="1:14" x14ac:dyDescent="0.3">
      <c r="A593" t="s">
        <v>675</v>
      </c>
      <c r="B593" s="1">
        <v>4852</v>
      </c>
      <c r="C593" s="1">
        <f t="shared" si="18"/>
        <v>4634</v>
      </c>
      <c r="D593">
        <v>218</v>
      </c>
      <c r="E593">
        <v>2</v>
      </c>
      <c r="F593" t="s">
        <v>47</v>
      </c>
      <c r="G593" t="s">
        <v>48</v>
      </c>
      <c r="H593" t="s">
        <v>42</v>
      </c>
      <c r="I593" s="2">
        <v>45176</v>
      </c>
      <c r="J593" t="s">
        <v>678</v>
      </c>
      <c r="K593" t="s">
        <v>23</v>
      </c>
      <c r="L593" t="s">
        <v>65</v>
      </c>
      <c r="M593" t="s">
        <v>275</v>
      </c>
      <c r="N593" t="str">
        <f t="shared" si="19"/>
        <v>September</v>
      </c>
    </row>
    <row r="594" spans="1:14" x14ac:dyDescent="0.3">
      <c r="A594" t="s">
        <v>679</v>
      </c>
      <c r="B594" s="1">
        <v>4314</v>
      </c>
      <c r="C594" s="1">
        <f t="shared" si="18"/>
        <v>2861</v>
      </c>
      <c r="D594">
        <v>1453</v>
      </c>
      <c r="E594">
        <v>6</v>
      </c>
      <c r="F594" t="s">
        <v>47</v>
      </c>
      <c r="G594" t="s">
        <v>62</v>
      </c>
      <c r="H594" t="s">
        <v>67</v>
      </c>
      <c r="I594" s="2">
        <v>44418</v>
      </c>
      <c r="J594" t="s">
        <v>680</v>
      </c>
      <c r="K594" t="s">
        <v>19</v>
      </c>
      <c r="L594" t="s">
        <v>152</v>
      </c>
      <c r="M594" t="s">
        <v>180</v>
      </c>
      <c r="N594" t="str">
        <f t="shared" si="19"/>
        <v>August</v>
      </c>
    </row>
    <row r="595" spans="1:14" x14ac:dyDescent="0.3">
      <c r="A595" t="s">
        <v>681</v>
      </c>
      <c r="B595" s="1">
        <v>3288</v>
      </c>
      <c r="C595" s="1">
        <f t="shared" si="18"/>
        <v>1811</v>
      </c>
      <c r="D595">
        <v>1477</v>
      </c>
      <c r="E595">
        <v>3</v>
      </c>
      <c r="F595" t="s">
        <v>32</v>
      </c>
      <c r="G595" t="s">
        <v>33</v>
      </c>
      <c r="H595" t="s">
        <v>42</v>
      </c>
      <c r="I595" s="2">
        <v>45438</v>
      </c>
      <c r="J595" t="s">
        <v>682</v>
      </c>
      <c r="K595" t="s">
        <v>73</v>
      </c>
      <c r="L595" t="s">
        <v>88</v>
      </c>
      <c r="M595" t="s">
        <v>37</v>
      </c>
      <c r="N595" t="str">
        <f t="shared" si="19"/>
        <v>May</v>
      </c>
    </row>
    <row r="596" spans="1:14" x14ac:dyDescent="0.3">
      <c r="A596" t="s">
        <v>681</v>
      </c>
      <c r="B596" s="1">
        <v>3288</v>
      </c>
      <c r="C596" s="1">
        <f t="shared" si="18"/>
        <v>1811</v>
      </c>
      <c r="D596">
        <v>1477</v>
      </c>
      <c r="E596">
        <v>3</v>
      </c>
      <c r="F596" t="s">
        <v>32</v>
      </c>
      <c r="G596" t="s">
        <v>33</v>
      </c>
      <c r="H596" t="s">
        <v>42</v>
      </c>
      <c r="I596" s="2">
        <v>44611</v>
      </c>
      <c r="J596" t="s">
        <v>683</v>
      </c>
      <c r="K596" t="s">
        <v>23</v>
      </c>
      <c r="L596" t="s">
        <v>65</v>
      </c>
      <c r="M596" t="s">
        <v>139</v>
      </c>
      <c r="N596" t="str">
        <f t="shared" si="19"/>
        <v>February</v>
      </c>
    </row>
    <row r="597" spans="1:14" x14ac:dyDescent="0.3">
      <c r="A597" t="s">
        <v>684</v>
      </c>
      <c r="B597" s="1">
        <v>3977</v>
      </c>
      <c r="C597" s="1">
        <f t="shared" si="18"/>
        <v>3164</v>
      </c>
      <c r="D597">
        <v>813</v>
      </c>
      <c r="E597">
        <v>5</v>
      </c>
      <c r="F597" t="s">
        <v>32</v>
      </c>
      <c r="G597" t="s">
        <v>80</v>
      </c>
      <c r="H597" t="s">
        <v>49</v>
      </c>
      <c r="I597" s="2">
        <v>45635</v>
      </c>
      <c r="J597" t="s">
        <v>685</v>
      </c>
      <c r="K597" t="s">
        <v>27</v>
      </c>
      <c r="L597" t="s">
        <v>53</v>
      </c>
      <c r="M597" t="s">
        <v>25</v>
      </c>
      <c r="N597" t="str">
        <f t="shared" si="19"/>
        <v>December</v>
      </c>
    </row>
    <row r="598" spans="1:14" x14ac:dyDescent="0.3">
      <c r="A598" t="s">
        <v>686</v>
      </c>
      <c r="B598" s="1">
        <v>6252</v>
      </c>
      <c r="C598" s="1">
        <f t="shared" si="18"/>
        <v>4875</v>
      </c>
      <c r="D598">
        <v>1377</v>
      </c>
      <c r="E598">
        <v>2</v>
      </c>
      <c r="F598" t="s">
        <v>15</v>
      </c>
      <c r="G598" t="s">
        <v>30</v>
      </c>
      <c r="H598" t="s">
        <v>42</v>
      </c>
      <c r="I598" s="2">
        <v>45078</v>
      </c>
      <c r="J598" t="s">
        <v>687</v>
      </c>
      <c r="K598" t="s">
        <v>23</v>
      </c>
      <c r="L598" t="s">
        <v>24</v>
      </c>
      <c r="M598" t="s">
        <v>21</v>
      </c>
      <c r="N598" t="str">
        <f t="shared" si="19"/>
        <v>June</v>
      </c>
    </row>
    <row r="599" spans="1:14" x14ac:dyDescent="0.3">
      <c r="A599" t="s">
        <v>688</v>
      </c>
      <c r="B599" s="1">
        <v>9084</v>
      </c>
      <c r="C599" s="1">
        <f t="shared" si="18"/>
        <v>5831</v>
      </c>
      <c r="D599">
        <v>3253</v>
      </c>
      <c r="E599">
        <v>12</v>
      </c>
      <c r="F599" t="s">
        <v>32</v>
      </c>
      <c r="G599" t="s">
        <v>33</v>
      </c>
      <c r="H599" t="s">
        <v>34</v>
      </c>
      <c r="I599" s="2">
        <v>45235</v>
      </c>
      <c r="J599" t="s">
        <v>689</v>
      </c>
      <c r="K599" t="s">
        <v>27</v>
      </c>
      <c r="L599" t="s">
        <v>28</v>
      </c>
      <c r="M599" t="s">
        <v>54</v>
      </c>
      <c r="N599" t="str">
        <f t="shared" si="19"/>
        <v>November</v>
      </c>
    </row>
    <row r="600" spans="1:14" x14ac:dyDescent="0.3">
      <c r="A600" t="s">
        <v>690</v>
      </c>
      <c r="B600" s="1">
        <v>8994</v>
      </c>
      <c r="C600" s="1">
        <f t="shared" si="18"/>
        <v>7513</v>
      </c>
      <c r="D600">
        <v>1481</v>
      </c>
      <c r="E600">
        <v>15</v>
      </c>
      <c r="F600" t="s">
        <v>15</v>
      </c>
      <c r="G600" t="s">
        <v>84</v>
      </c>
      <c r="H600" t="s">
        <v>49</v>
      </c>
      <c r="I600" s="2">
        <v>44003</v>
      </c>
      <c r="J600" t="s">
        <v>691</v>
      </c>
      <c r="K600" t="s">
        <v>44</v>
      </c>
      <c r="L600" t="s">
        <v>77</v>
      </c>
      <c r="M600" t="s">
        <v>315</v>
      </c>
      <c r="N600" t="str">
        <f t="shared" si="19"/>
        <v>June</v>
      </c>
    </row>
    <row r="601" spans="1:14" x14ac:dyDescent="0.3">
      <c r="A601" t="s">
        <v>692</v>
      </c>
      <c r="B601" s="1">
        <v>1089</v>
      </c>
      <c r="C601" s="1">
        <f t="shared" si="18"/>
        <v>913</v>
      </c>
      <c r="D601">
        <v>176</v>
      </c>
      <c r="E601">
        <v>16</v>
      </c>
      <c r="F601" t="s">
        <v>32</v>
      </c>
      <c r="G601" t="s">
        <v>59</v>
      </c>
      <c r="H601" t="s">
        <v>42</v>
      </c>
      <c r="I601" s="2">
        <v>44130</v>
      </c>
      <c r="J601" t="s">
        <v>693</v>
      </c>
      <c r="K601" t="s">
        <v>73</v>
      </c>
      <c r="L601" t="s">
        <v>74</v>
      </c>
      <c r="M601" t="s">
        <v>121</v>
      </c>
      <c r="N601" t="str">
        <f t="shared" si="19"/>
        <v>October</v>
      </c>
    </row>
    <row r="602" spans="1:14" x14ac:dyDescent="0.3">
      <c r="A602" t="s">
        <v>694</v>
      </c>
      <c r="B602" s="1">
        <v>6690</v>
      </c>
      <c r="C602" s="1">
        <f t="shared" si="18"/>
        <v>5689</v>
      </c>
      <c r="D602">
        <v>1001</v>
      </c>
      <c r="E602">
        <v>19</v>
      </c>
      <c r="F602" t="s">
        <v>32</v>
      </c>
      <c r="G602" t="s">
        <v>80</v>
      </c>
      <c r="H602" t="s">
        <v>17</v>
      </c>
      <c r="I602" s="2">
        <v>44718</v>
      </c>
      <c r="J602" t="s">
        <v>695</v>
      </c>
      <c r="K602" t="s">
        <v>23</v>
      </c>
      <c r="L602" t="s">
        <v>65</v>
      </c>
      <c r="M602" t="s">
        <v>167</v>
      </c>
      <c r="N602" t="str">
        <f t="shared" si="19"/>
        <v>June</v>
      </c>
    </row>
    <row r="603" spans="1:14" x14ac:dyDescent="0.3">
      <c r="A603" t="s">
        <v>694</v>
      </c>
      <c r="B603" s="1">
        <v>6690</v>
      </c>
      <c r="C603" s="1">
        <f t="shared" si="18"/>
        <v>5689</v>
      </c>
      <c r="D603">
        <v>1001</v>
      </c>
      <c r="E603">
        <v>19</v>
      </c>
      <c r="F603" t="s">
        <v>32</v>
      </c>
      <c r="G603" t="s">
        <v>80</v>
      </c>
      <c r="H603" t="s">
        <v>17</v>
      </c>
      <c r="I603" s="2">
        <v>44513</v>
      </c>
      <c r="J603" t="s">
        <v>696</v>
      </c>
      <c r="K603" t="s">
        <v>23</v>
      </c>
      <c r="L603" t="s">
        <v>24</v>
      </c>
      <c r="M603" t="s">
        <v>177</v>
      </c>
      <c r="N603" t="str">
        <f t="shared" si="19"/>
        <v>November</v>
      </c>
    </row>
    <row r="604" spans="1:14" x14ac:dyDescent="0.3">
      <c r="A604" t="s">
        <v>694</v>
      </c>
      <c r="B604" s="1">
        <v>4985</v>
      </c>
      <c r="C604" s="1">
        <f t="shared" si="18"/>
        <v>3065</v>
      </c>
      <c r="D604">
        <v>1920</v>
      </c>
      <c r="E604">
        <v>10</v>
      </c>
      <c r="F604" t="s">
        <v>47</v>
      </c>
      <c r="G604" t="s">
        <v>111</v>
      </c>
      <c r="H604" t="s">
        <v>49</v>
      </c>
      <c r="I604" s="2">
        <v>44718</v>
      </c>
      <c r="J604" t="s">
        <v>695</v>
      </c>
      <c r="K604" t="s">
        <v>23</v>
      </c>
      <c r="L604" t="s">
        <v>65</v>
      </c>
      <c r="M604" t="s">
        <v>167</v>
      </c>
      <c r="N604" t="str">
        <f t="shared" si="19"/>
        <v>June</v>
      </c>
    </row>
    <row r="605" spans="1:14" x14ac:dyDescent="0.3">
      <c r="A605" t="s">
        <v>694</v>
      </c>
      <c r="B605" s="1">
        <v>4985</v>
      </c>
      <c r="C605" s="1">
        <f t="shared" si="18"/>
        <v>3065</v>
      </c>
      <c r="D605">
        <v>1920</v>
      </c>
      <c r="E605">
        <v>10</v>
      </c>
      <c r="F605" t="s">
        <v>47</v>
      </c>
      <c r="G605" t="s">
        <v>111</v>
      </c>
      <c r="H605" t="s">
        <v>49</v>
      </c>
      <c r="I605" s="2">
        <v>44513</v>
      </c>
      <c r="J605" t="s">
        <v>696</v>
      </c>
      <c r="K605" t="s">
        <v>23</v>
      </c>
      <c r="L605" t="s">
        <v>24</v>
      </c>
      <c r="M605" t="s">
        <v>177</v>
      </c>
      <c r="N605" t="str">
        <f t="shared" si="19"/>
        <v>November</v>
      </c>
    </row>
    <row r="606" spans="1:14" x14ac:dyDescent="0.3">
      <c r="A606" t="s">
        <v>697</v>
      </c>
      <c r="B606" s="1">
        <v>8590</v>
      </c>
      <c r="C606" s="1">
        <f t="shared" si="18"/>
        <v>5025</v>
      </c>
      <c r="D606">
        <v>3565</v>
      </c>
      <c r="E606">
        <v>15</v>
      </c>
      <c r="F606" t="s">
        <v>15</v>
      </c>
      <c r="G606" t="s">
        <v>16</v>
      </c>
      <c r="H606" t="s">
        <v>42</v>
      </c>
      <c r="I606" s="2">
        <v>44511</v>
      </c>
      <c r="J606" t="s">
        <v>698</v>
      </c>
      <c r="K606" t="s">
        <v>19</v>
      </c>
      <c r="L606" t="s">
        <v>20</v>
      </c>
      <c r="M606" t="s">
        <v>177</v>
      </c>
      <c r="N606" t="str">
        <f t="shared" si="19"/>
        <v>November</v>
      </c>
    </row>
    <row r="607" spans="1:14" x14ac:dyDescent="0.3">
      <c r="A607" t="s">
        <v>697</v>
      </c>
      <c r="B607" s="1">
        <v>6973</v>
      </c>
      <c r="C607" s="1">
        <f t="shared" si="18"/>
        <v>3935</v>
      </c>
      <c r="D607">
        <v>3038</v>
      </c>
      <c r="E607">
        <v>10</v>
      </c>
      <c r="F607" t="s">
        <v>47</v>
      </c>
      <c r="G607" t="s">
        <v>48</v>
      </c>
      <c r="H607" t="s">
        <v>67</v>
      </c>
      <c r="I607" s="2">
        <v>44511</v>
      </c>
      <c r="J607" t="s">
        <v>698</v>
      </c>
      <c r="K607" t="s">
        <v>19</v>
      </c>
      <c r="L607" t="s">
        <v>20</v>
      </c>
      <c r="M607" t="s">
        <v>177</v>
      </c>
      <c r="N607" t="str">
        <f t="shared" si="19"/>
        <v>November</v>
      </c>
    </row>
    <row r="608" spans="1:14" x14ac:dyDescent="0.3">
      <c r="A608" t="s">
        <v>699</v>
      </c>
      <c r="B608" s="1">
        <v>4591</v>
      </c>
      <c r="C608" s="1">
        <f t="shared" si="18"/>
        <v>2650</v>
      </c>
      <c r="D608">
        <v>1941</v>
      </c>
      <c r="E608">
        <v>19</v>
      </c>
      <c r="F608" t="s">
        <v>15</v>
      </c>
      <c r="G608" t="s">
        <v>30</v>
      </c>
      <c r="H608" t="s">
        <v>42</v>
      </c>
      <c r="I608" s="2">
        <v>44408</v>
      </c>
      <c r="J608" t="s">
        <v>478</v>
      </c>
      <c r="K608" t="s">
        <v>73</v>
      </c>
      <c r="L608" t="s">
        <v>74</v>
      </c>
      <c r="M608" t="s">
        <v>29</v>
      </c>
      <c r="N608" t="str">
        <f t="shared" si="19"/>
        <v>July</v>
      </c>
    </row>
    <row r="609" spans="1:14" x14ac:dyDescent="0.3">
      <c r="A609" t="s">
        <v>699</v>
      </c>
      <c r="B609" s="1">
        <v>9612</v>
      </c>
      <c r="C609" s="1">
        <f t="shared" si="18"/>
        <v>7040</v>
      </c>
      <c r="D609">
        <v>2572</v>
      </c>
      <c r="E609">
        <v>17</v>
      </c>
      <c r="F609" t="s">
        <v>32</v>
      </c>
      <c r="G609" t="s">
        <v>33</v>
      </c>
      <c r="H609" t="s">
        <v>49</v>
      </c>
      <c r="I609" s="2">
        <v>44408</v>
      </c>
      <c r="J609" t="s">
        <v>478</v>
      </c>
      <c r="K609" t="s">
        <v>73</v>
      </c>
      <c r="L609" t="s">
        <v>74</v>
      </c>
      <c r="M609" t="s">
        <v>29</v>
      </c>
      <c r="N609" t="str">
        <f t="shared" si="19"/>
        <v>July</v>
      </c>
    </row>
    <row r="610" spans="1:14" x14ac:dyDescent="0.3">
      <c r="A610" t="s">
        <v>700</v>
      </c>
      <c r="B610" s="1">
        <v>5343</v>
      </c>
      <c r="C610" s="1">
        <f t="shared" si="18"/>
        <v>4688</v>
      </c>
      <c r="D610">
        <v>655</v>
      </c>
      <c r="E610">
        <v>1</v>
      </c>
      <c r="F610" t="s">
        <v>47</v>
      </c>
      <c r="G610" t="s">
        <v>51</v>
      </c>
      <c r="H610" t="s">
        <v>42</v>
      </c>
      <c r="I610" s="2">
        <v>45395</v>
      </c>
      <c r="J610" t="s">
        <v>701</v>
      </c>
      <c r="K610" t="s">
        <v>44</v>
      </c>
      <c r="L610" t="s">
        <v>77</v>
      </c>
      <c r="M610" t="s">
        <v>237</v>
      </c>
      <c r="N610" t="str">
        <f t="shared" si="19"/>
        <v>April</v>
      </c>
    </row>
    <row r="611" spans="1:14" x14ac:dyDescent="0.3">
      <c r="A611" t="s">
        <v>702</v>
      </c>
      <c r="B611" s="1">
        <v>6956</v>
      </c>
      <c r="C611" s="1">
        <f t="shared" si="18"/>
        <v>6638</v>
      </c>
      <c r="D611">
        <v>318</v>
      </c>
      <c r="E611">
        <v>20</v>
      </c>
      <c r="F611" t="s">
        <v>32</v>
      </c>
      <c r="G611" t="s">
        <v>59</v>
      </c>
      <c r="H611" t="s">
        <v>34</v>
      </c>
      <c r="I611" s="2">
        <v>44670</v>
      </c>
      <c r="J611" t="s">
        <v>703</v>
      </c>
      <c r="K611" t="s">
        <v>23</v>
      </c>
      <c r="L611" t="s">
        <v>65</v>
      </c>
      <c r="M611" t="s">
        <v>189</v>
      </c>
      <c r="N611" t="str">
        <f t="shared" si="19"/>
        <v>April</v>
      </c>
    </row>
    <row r="612" spans="1:14" x14ac:dyDescent="0.3">
      <c r="A612" t="s">
        <v>704</v>
      </c>
      <c r="B612" s="1">
        <v>5306</v>
      </c>
      <c r="C612" s="1">
        <f t="shared" si="18"/>
        <v>2901</v>
      </c>
      <c r="D612">
        <v>2405</v>
      </c>
      <c r="E612">
        <v>17</v>
      </c>
      <c r="F612" t="s">
        <v>47</v>
      </c>
      <c r="G612" t="s">
        <v>48</v>
      </c>
      <c r="H612" t="s">
        <v>42</v>
      </c>
      <c r="I612" s="2">
        <v>45374</v>
      </c>
      <c r="J612" t="s">
        <v>705</v>
      </c>
      <c r="K612" t="s">
        <v>27</v>
      </c>
      <c r="L612" t="s">
        <v>28</v>
      </c>
      <c r="M612" t="s">
        <v>340</v>
      </c>
      <c r="N612" t="str">
        <f t="shared" si="19"/>
        <v>March</v>
      </c>
    </row>
    <row r="613" spans="1:14" x14ac:dyDescent="0.3">
      <c r="A613" t="s">
        <v>706</v>
      </c>
      <c r="B613" s="1">
        <v>8982</v>
      </c>
      <c r="C613" s="1">
        <f t="shared" si="18"/>
        <v>8534</v>
      </c>
      <c r="D613">
        <v>448</v>
      </c>
      <c r="E613">
        <v>17</v>
      </c>
      <c r="F613" t="s">
        <v>47</v>
      </c>
      <c r="G613" t="s">
        <v>62</v>
      </c>
      <c r="H613" t="s">
        <v>17</v>
      </c>
      <c r="I613" s="2">
        <v>44323</v>
      </c>
      <c r="J613" t="s">
        <v>707</v>
      </c>
      <c r="K613" t="s">
        <v>27</v>
      </c>
      <c r="L613" t="s">
        <v>53</v>
      </c>
      <c r="M613" t="s">
        <v>110</v>
      </c>
      <c r="N613" t="str">
        <f t="shared" si="19"/>
        <v>May</v>
      </c>
    </row>
    <row r="614" spans="1:14" x14ac:dyDescent="0.3">
      <c r="A614" t="s">
        <v>706</v>
      </c>
      <c r="B614" s="1">
        <v>4826</v>
      </c>
      <c r="C614" s="1">
        <f t="shared" si="18"/>
        <v>4264</v>
      </c>
      <c r="D614">
        <v>562</v>
      </c>
      <c r="E614">
        <v>5</v>
      </c>
      <c r="F614" t="s">
        <v>32</v>
      </c>
      <c r="G614" t="s">
        <v>66</v>
      </c>
      <c r="H614" t="s">
        <v>34</v>
      </c>
      <c r="I614" s="2">
        <v>44323</v>
      </c>
      <c r="J614" t="s">
        <v>707</v>
      </c>
      <c r="K614" t="s">
        <v>27</v>
      </c>
      <c r="L614" t="s">
        <v>53</v>
      </c>
      <c r="M614" t="s">
        <v>110</v>
      </c>
      <c r="N614" t="str">
        <f t="shared" si="19"/>
        <v>May</v>
      </c>
    </row>
    <row r="615" spans="1:14" x14ac:dyDescent="0.3">
      <c r="A615" t="s">
        <v>708</v>
      </c>
      <c r="B615" s="1">
        <v>972</v>
      </c>
      <c r="C615" s="1">
        <f t="shared" si="18"/>
        <v>866</v>
      </c>
      <c r="D615">
        <v>106</v>
      </c>
      <c r="E615">
        <v>15</v>
      </c>
      <c r="F615" t="s">
        <v>32</v>
      </c>
      <c r="G615" t="s">
        <v>33</v>
      </c>
      <c r="H615" t="s">
        <v>42</v>
      </c>
      <c r="I615" s="2">
        <v>44687</v>
      </c>
      <c r="J615" t="s">
        <v>709</v>
      </c>
      <c r="K615" t="s">
        <v>100</v>
      </c>
      <c r="L615" t="s">
        <v>109</v>
      </c>
      <c r="M615" t="s">
        <v>182</v>
      </c>
      <c r="N615" t="str">
        <f t="shared" si="19"/>
        <v>May</v>
      </c>
    </row>
    <row r="616" spans="1:14" x14ac:dyDescent="0.3">
      <c r="A616" t="s">
        <v>710</v>
      </c>
      <c r="B616" s="1">
        <v>3665</v>
      </c>
      <c r="C616" s="1">
        <f t="shared" si="18"/>
        <v>2863</v>
      </c>
      <c r="D616">
        <v>802</v>
      </c>
      <c r="E616">
        <v>4</v>
      </c>
      <c r="F616" t="s">
        <v>32</v>
      </c>
      <c r="G616" t="s">
        <v>59</v>
      </c>
      <c r="H616" t="s">
        <v>49</v>
      </c>
      <c r="I616" s="2">
        <v>44417</v>
      </c>
      <c r="J616" t="s">
        <v>711</v>
      </c>
      <c r="K616" t="s">
        <v>19</v>
      </c>
      <c r="L616" t="s">
        <v>20</v>
      </c>
      <c r="M616" t="s">
        <v>180</v>
      </c>
      <c r="N616" t="str">
        <f t="shared" si="19"/>
        <v>August</v>
      </c>
    </row>
    <row r="617" spans="1:14" x14ac:dyDescent="0.3">
      <c r="A617" t="s">
        <v>710</v>
      </c>
      <c r="B617" s="1">
        <v>3665</v>
      </c>
      <c r="C617" s="1">
        <f t="shared" si="18"/>
        <v>2863</v>
      </c>
      <c r="D617">
        <v>802</v>
      </c>
      <c r="E617">
        <v>4</v>
      </c>
      <c r="F617" t="s">
        <v>32</v>
      </c>
      <c r="G617" t="s">
        <v>59</v>
      </c>
      <c r="H617" t="s">
        <v>49</v>
      </c>
      <c r="I617" s="2">
        <v>45697</v>
      </c>
      <c r="J617" t="s">
        <v>712</v>
      </c>
      <c r="K617" t="s">
        <v>19</v>
      </c>
      <c r="L617" t="s">
        <v>152</v>
      </c>
      <c r="M617" t="s">
        <v>75</v>
      </c>
      <c r="N617" t="str">
        <f t="shared" si="19"/>
        <v>February</v>
      </c>
    </row>
    <row r="618" spans="1:14" x14ac:dyDescent="0.3">
      <c r="A618" t="s">
        <v>713</v>
      </c>
      <c r="B618" s="1">
        <v>9808</v>
      </c>
      <c r="C618" s="1">
        <f t="shared" si="18"/>
        <v>7691</v>
      </c>
      <c r="D618">
        <v>2117</v>
      </c>
      <c r="E618">
        <v>2</v>
      </c>
      <c r="F618" t="s">
        <v>32</v>
      </c>
      <c r="G618" t="s">
        <v>33</v>
      </c>
      <c r="H618" t="s">
        <v>17</v>
      </c>
      <c r="I618" s="2">
        <v>45405</v>
      </c>
      <c r="J618" t="s">
        <v>714</v>
      </c>
      <c r="K618" t="s">
        <v>44</v>
      </c>
      <c r="L618" t="s">
        <v>45</v>
      </c>
      <c r="M618" t="s">
        <v>237</v>
      </c>
      <c r="N618" t="str">
        <f t="shared" si="19"/>
        <v>April</v>
      </c>
    </row>
    <row r="619" spans="1:14" x14ac:dyDescent="0.3">
      <c r="A619" t="s">
        <v>715</v>
      </c>
      <c r="B619" s="1">
        <v>1133</v>
      </c>
      <c r="C619" s="1">
        <f t="shared" si="18"/>
        <v>1060</v>
      </c>
      <c r="D619">
        <v>73</v>
      </c>
      <c r="E619">
        <v>17</v>
      </c>
      <c r="F619" t="s">
        <v>47</v>
      </c>
      <c r="G619" t="s">
        <v>51</v>
      </c>
      <c r="H619" t="s">
        <v>17</v>
      </c>
      <c r="I619" s="2">
        <v>44980</v>
      </c>
      <c r="J619" t="s">
        <v>716</v>
      </c>
      <c r="K619" t="s">
        <v>100</v>
      </c>
      <c r="L619" t="s">
        <v>119</v>
      </c>
      <c r="M619" t="s">
        <v>95</v>
      </c>
      <c r="N619" t="str">
        <f t="shared" si="19"/>
        <v>February</v>
      </c>
    </row>
    <row r="620" spans="1:14" x14ac:dyDescent="0.3">
      <c r="A620" t="s">
        <v>715</v>
      </c>
      <c r="B620" s="1">
        <v>1133</v>
      </c>
      <c r="C620" s="1">
        <f t="shared" si="18"/>
        <v>1060</v>
      </c>
      <c r="D620">
        <v>73</v>
      </c>
      <c r="E620">
        <v>17</v>
      </c>
      <c r="F620" t="s">
        <v>47</v>
      </c>
      <c r="G620" t="s">
        <v>51</v>
      </c>
      <c r="H620" t="s">
        <v>17</v>
      </c>
      <c r="I620" s="2">
        <v>45449</v>
      </c>
      <c r="J620" t="s">
        <v>717</v>
      </c>
      <c r="K620" t="s">
        <v>44</v>
      </c>
      <c r="L620" t="s">
        <v>77</v>
      </c>
      <c r="M620" t="s">
        <v>264</v>
      </c>
      <c r="N620" t="str">
        <f t="shared" si="19"/>
        <v>June</v>
      </c>
    </row>
    <row r="621" spans="1:14" x14ac:dyDescent="0.3">
      <c r="A621" t="s">
        <v>715</v>
      </c>
      <c r="B621" s="1">
        <v>6248</v>
      </c>
      <c r="C621" s="1">
        <f t="shared" si="18"/>
        <v>5080</v>
      </c>
      <c r="D621">
        <v>1168</v>
      </c>
      <c r="E621">
        <v>19</v>
      </c>
      <c r="F621" t="s">
        <v>47</v>
      </c>
      <c r="G621" t="s">
        <v>111</v>
      </c>
      <c r="H621" t="s">
        <v>67</v>
      </c>
      <c r="I621" s="2">
        <v>44980</v>
      </c>
      <c r="J621" t="s">
        <v>716</v>
      </c>
      <c r="K621" t="s">
        <v>100</v>
      </c>
      <c r="L621" t="s">
        <v>119</v>
      </c>
      <c r="M621" t="s">
        <v>95</v>
      </c>
      <c r="N621" t="str">
        <f t="shared" si="19"/>
        <v>February</v>
      </c>
    </row>
    <row r="622" spans="1:14" x14ac:dyDescent="0.3">
      <c r="A622" t="s">
        <v>715</v>
      </c>
      <c r="B622" s="1">
        <v>6248</v>
      </c>
      <c r="C622" s="1">
        <f t="shared" si="18"/>
        <v>5080</v>
      </c>
      <c r="D622">
        <v>1168</v>
      </c>
      <c r="E622">
        <v>19</v>
      </c>
      <c r="F622" t="s">
        <v>47</v>
      </c>
      <c r="G622" t="s">
        <v>111</v>
      </c>
      <c r="H622" t="s">
        <v>67</v>
      </c>
      <c r="I622" s="2">
        <v>45449</v>
      </c>
      <c r="J622" t="s">
        <v>717</v>
      </c>
      <c r="K622" t="s">
        <v>44</v>
      </c>
      <c r="L622" t="s">
        <v>77</v>
      </c>
      <c r="M622" t="s">
        <v>264</v>
      </c>
      <c r="N622" t="str">
        <f t="shared" si="19"/>
        <v>June</v>
      </c>
    </row>
    <row r="623" spans="1:14" x14ac:dyDescent="0.3">
      <c r="A623" t="s">
        <v>718</v>
      </c>
      <c r="B623" s="1">
        <v>5666</v>
      </c>
      <c r="C623" s="1">
        <f t="shared" si="18"/>
        <v>2933</v>
      </c>
      <c r="D623">
        <v>2733</v>
      </c>
      <c r="E623">
        <v>17</v>
      </c>
      <c r="F623" t="s">
        <v>15</v>
      </c>
      <c r="G623" t="s">
        <v>16</v>
      </c>
      <c r="H623" t="s">
        <v>49</v>
      </c>
      <c r="I623" s="2">
        <v>45684</v>
      </c>
      <c r="J623" t="s">
        <v>719</v>
      </c>
      <c r="K623" t="s">
        <v>19</v>
      </c>
      <c r="L623" t="s">
        <v>152</v>
      </c>
      <c r="M623" t="s">
        <v>310</v>
      </c>
      <c r="N623" t="str">
        <f t="shared" si="19"/>
        <v>January</v>
      </c>
    </row>
    <row r="624" spans="1:14" x14ac:dyDescent="0.3">
      <c r="A624" t="s">
        <v>720</v>
      </c>
      <c r="B624" s="1">
        <v>4171</v>
      </c>
      <c r="C624" s="1">
        <f t="shared" si="18"/>
        <v>2721</v>
      </c>
      <c r="D624">
        <v>1450</v>
      </c>
      <c r="E624">
        <v>18</v>
      </c>
      <c r="F624" t="s">
        <v>32</v>
      </c>
      <c r="G624" t="s">
        <v>59</v>
      </c>
      <c r="H624" t="s">
        <v>67</v>
      </c>
      <c r="I624" s="2">
        <v>45023</v>
      </c>
      <c r="J624" t="s">
        <v>721</v>
      </c>
      <c r="K624" t="s">
        <v>73</v>
      </c>
      <c r="L624" t="s">
        <v>74</v>
      </c>
      <c r="M624" t="s">
        <v>147</v>
      </c>
      <c r="N624" t="str">
        <f t="shared" si="19"/>
        <v>April</v>
      </c>
    </row>
    <row r="625" spans="1:14" x14ac:dyDescent="0.3">
      <c r="A625" t="s">
        <v>722</v>
      </c>
      <c r="B625" s="1">
        <v>6236</v>
      </c>
      <c r="C625" s="1">
        <f t="shared" si="18"/>
        <v>3397</v>
      </c>
      <c r="D625">
        <v>2839</v>
      </c>
      <c r="E625">
        <v>7</v>
      </c>
      <c r="F625" t="s">
        <v>15</v>
      </c>
      <c r="G625" t="s">
        <v>30</v>
      </c>
      <c r="H625" t="s">
        <v>49</v>
      </c>
      <c r="I625" s="2">
        <v>44581</v>
      </c>
      <c r="J625" t="s">
        <v>723</v>
      </c>
      <c r="K625" t="s">
        <v>23</v>
      </c>
      <c r="L625" t="s">
        <v>65</v>
      </c>
      <c r="M625" t="s">
        <v>89</v>
      </c>
      <c r="N625" t="str">
        <f t="shared" si="19"/>
        <v>January</v>
      </c>
    </row>
    <row r="626" spans="1:14" x14ac:dyDescent="0.3">
      <c r="A626" t="s">
        <v>722</v>
      </c>
      <c r="B626" s="1">
        <v>6236</v>
      </c>
      <c r="C626" s="1">
        <f t="shared" si="18"/>
        <v>3397</v>
      </c>
      <c r="D626">
        <v>2839</v>
      </c>
      <c r="E626">
        <v>7</v>
      </c>
      <c r="F626" t="s">
        <v>15</v>
      </c>
      <c r="G626" t="s">
        <v>30</v>
      </c>
      <c r="H626" t="s">
        <v>49</v>
      </c>
      <c r="I626" s="2">
        <v>44691</v>
      </c>
      <c r="J626" t="s">
        <v>724</v>
      </c>
      <c r="K626" t="s">
        <v>19</v>
      </c>
      <c r="L626" t="s">
        <v>36</v>
      </c>
      <c r="M626" t="s">
        <v>182</v>
      </c>
      <c r="N626" t="str">
        <f t="shared" si="19"/>
        <v>May</v>
      </c>
    </row>
    <row r="627" spans="1:14" x14ac:dyDescent="0.3">
      <c r="A627" t="s">
        <v>725</v>
      </c>
      <c r="B627" s="1">
        <v>5410</v>
      </c>
      <c r="C627" s="1">
        <f t="shared" si="18"/>
        <v>2954</v>
      </c>
      <c r="D627">
        <v>2456</v>
      </c>
      <c r="E627">
        <v>8</v>
      </c>
      <c r="F627" t="s">
        <v>47</v>
      </c>
      <c r="G627" t="s">
        <v>51</v>
      </c>
      <c r="H627" t="s">
        <v>49</v>
      </c>
      <c r="I627" s="2">
        <v>45441</v>
      </c>
      <c r="J627" t="s">
        <v>726</v>
      </c>
      <c r="K627" t="s">
        <v>44</v>
      </c>
      <c r="L627" t="s">
        <v>45</v>
      </c>
      <c r="M627" t="s">
        <v>37</v>
      </c>
      <c r="N627" t="str">
        <f t="shared" si="19"/>
        <v>May</v>
      </c>
    </row>
    <row r="628" spans="1:14" x14ac:dyDescent="0.3">
      <c r="A628" t="s">
        <v>725</v>
      </c>
      <c r="B628" s="1">
        <v>5410</v>
      </c>
      <c r="C628" s="1">
        <f t="shared" si="18"/>
        <v>2954</v>
      </c>
      <c r="D628">
        <v>2456</v>
      </c>
      <c r="E628">
        <v>8</v>
      </c>
      <c r="F628" t="s">
        <v>47</v>
      </c>
      <c r="G628" t="s">
        <v>51</v>
      </c>
      <c r="H628" t="s">
        <v>49</v>
      </c>
      <c r="I628" s="2">
        <v>44565</v>
      </c>
      <c r="J628" t="s">
        <v>727</v>
      </c>
      <c r="K628" t="s">
        <v>19</v>
      </c>
      <c r="L628" t="s">
        <v>152</v>
      </c>
      <c r="M628" t="s">
        <v>89</v>
      </c>
      <c r="N628" t="str">
        <f t="shared" si="19"/>
        <v>January</v>
      </c>
    </row>
    <row r="629" spans="1:14" x14ac:dyDescent="0.3">
      <c r="A629" t="s">
        <v>728</v>
      </c>
      <c r="B629" s="1">
        <v>3024</v>
      </c>
      <c r="C629" s="1">
        <f t="shared" si="18"/>
        <v>1671</v>
      </c>
      <c r="D629">
        <v>1353</v>
      </c>
      <c r="E629">
        <v>1</v>
      </c>
      <c r="F629" t="s">
        <v>47</v>
      </c>
      <c r="G629" t="s">
        <v>62</v>
      </c>
      <c r="H629" t="s">
        <v>49</v>
      </c>
      <c r="I629" s="2">
        <v>45414</v>
      </c>
      <c r="J629" t="s">
        <v>729</v>
      </c>
      <c r="K629" t="s">
        <v>44</v>
      </c>
      <c r="L629" t="s">
        <v>45</v>
      </c>
      <c r="M629" t="s">
        <v>37</v>
      </c>
      <c r="N629" t="str">
        <f t="shared" si="19"/>
        <v>May</v>
      </c>
    </row>
    <row r="630" spans="1:14" x14ac:dyDescent="0.3">
      <c r="A630" t="s">
        <v>728</v>
      </c>
      <c r="B630" s="1">
        <v>3024</v>
      </c>
      <c r="C630" s="1">
        <f t="shared" si="18"/>
        <v>1671</v>
      </c>
      <c r="D630">
        <v>1353</v>
      </c>
      <c r="E630">
        <v>1</v>
      </c>
      <c r="F630" t="s">
        <v>47</v>
      </c>
      <c r="G630" t="s">
        <v>62</v>
      </c>
      <c r="H630" t="s">
        <v>49</v>
      </c>
      <c r="I630" s="2">
        <v>44558</v>
      </c>
      <c r="J630" t="s">
        <v>730</v>
      </c>
      <c r="K630" t="s">
        <v>100</v>
      </c>
      <c r="L630" t="s">
        <v>101</v>
      </c>
      <c r="M630" t="s">
        <v>92</v>
      </c>
      <c r="N630" t="str">
        <f t="shared" si="19"/>
        <v>December</v>
      </c>
    </row>
    <row r="631" spans="1:14" x14ac:dyDescent="0.3">
      <c r="A631" t="s">
        <v>731</v>
      </c>
      <c r="B631" s="1">
        <v>7434</v>
      </c>
      <c r="C631" s="1">
        <f t="shared" si="18"/>
        <v>4583</v>
      </c>
      <c r="D631">
        <v>2851</v>
      </c>
      <c r="E631">
        <v>5</v>
      </c>
      <c r="F631" t="s">
        <v>32</v>
      </c>
      <c r="G631" t="s">
        <v>59</v>
      </c>
      <c r="H631" t="s">
        <v>17</v>
      </c>
      <c r="I631" s="2">
        <v>44907</v>
      </c>
      <c r="J631" t="s">
        <v>732</v>
      </c>
      <c r="K631" t="s">
        <v>23</v>
      </c>
      <c r="L631" t="s">
        <v>65</v>
      </c>
      <c r="M631" t="s">
        <v>154</v>
      </c>
      <c r="N631" t="str">
        <f t="shared" si="19"/>
        <v>December</v>
      </c>
    </row>
    <row r="632" spans="1:14" x14ac:dyDescent="0.3">
      <c r="A632" t="s">
        <v>733</v>
      </c>
      <c r="B632" s="1">
        <v>7213</v>
      </c>
      <c r="C632" s="1">
        <f t="shared" si="18"/>
        <v>6705</v>
      </c>
      <c r="D632">
        <v>508</v>
      </c>
      <c r="E632">
        <v>19</v>
      </c>
      <c r="F632" t="s">
        <v>15</v>
      </c>
      <c r="G632" t="s">
        <v>16</v>
      </c>
      <c r="H632" t="s">
        <v>34</v>
      </c>
      <c r="I632" s="2">
        <v>45155</v>
      </c>
      <c r="J632" t="s">
        <v>734</v>
      </c>
      <c r="K632" t="s">
        <v>73</v>
      </c>
      <c r="L632" t="s">
        <v>74</v>
      </c>
      <c r="M632" t="s">
        <v>123</v>
      </c>
      <c r="N632" t="str">
        <f t="shared" si="19"/>
        <v>August</v>
      </c>
    </row>
    <row r="633" spans="1:14" x14ac:dyDescent="0.3">
      <c r="A633" t="s">
        <v>733</v>
      </c>
      <c r="B633" s="1">
        <v>7213</v>
      </c>
      <c r="C633" s="1">
        <f t="shared" si="18"/>
        <v>6705</v>
      </c>
      <c r="D633">
        <v>508</v>
      </c>
      <c r="E633">
        <v>19</v>
      </c>
      <c r="F633" t="s">
        <v>15</v>
      </c>
      <c r="G633" t="s">
        <v>16</v>
      </c>
      <c r="H633" t="s">
        <v>34</v>
      </c>
      <c r="I633" s="2">
        <v>44529</v>
      </c>
      <c r="J633" t="s">
        <v>735</v>
      </c>
      <c r="K633" t="s">
        <v>100</v>
      </c>
      <c r="L633" t="s">
        <v>109</v>
      </c>
      <c r="M633" t="s">
        <v>177</v>
      </c>
      <c r="N633" t="str">
        <f t="shared" si="19"/>
        <v>November</v>
      </c>
    </row>
    <row r="634" spans="1:14" x14ac:dyDescent="0.3">
      <c r="A634" t="s">
        <v>733</v>
      </c>
      <c r="B634" s="1">
        <v>3176</v>
      </c>
      <c r="C634" s="1">
        <f t="shared" si="18"/>
        <v>2590</v>
      </c>
      <c r="D634">
        <v>586</v>
      </c>
      <c r="E634">
        <v>9</v>
      </c>
      <c r="F634" t="s">
        <v>47</v>
      </c>
      <c r="G634" t="s">
        <v>48</v>
      </c>
      <c r="H634" t="s">
        <v>42</v>
      </c>
      <c r="I634" s="2">
        <v>45155</v>
      </c>
      <c r="J634" t="s">
        <v>734</v>
      </c>
      <c r="K634" t="s">
        <v>73</v>
      </c>
      <c r="L634" t="s">
        <v>74</v>
      </c>
      <c r="M634" t="s">
        <v>123</v>
      </c>
      <c r="N634" t="str">
        <f t="shared" si="19"/>
        <v>August</v>
      </c>
    </row>
    <row r="635" spans="1:14" x14ac:dyDescent="0.3">
      <c r="A635" t="s">
        <v>733</v>
      </c>
      <c r="B635" s="1">
        <v>3176</v>
      </c>
      <c r="C635" s="1">
        <f t="shared" si="18"/>
        <v>2590</v>
      </c>
      <c r="D635">
        <v>586</v>
      </c>
      <c r="E635">
        <v>9</v>
      </c>
      <c r="F635" t="s">
        <v>47</v>
      </c>
      <c r="G635" t="s">
        <v>48</v>
      </c>
      <c r="H635" t="s">
        <v>42</v>
      </c>
      <c r="I635" s="2">
        <v>44529</v>
      </c>
      <c r="J635" t="s">
        <v>735</v>
      </c>
      <c r="K635" t="s">
        <v>100</v>
      </c>
      <c r="L635" t="s">
        <v>109</v>
      </c>
      <c r="M635" t="s">
        <v>177</v>
      </c>
      <c r="N635" t="str">
        <f t="shared" si="19"/>
        <v>November</v>
      </c>
    </row>
    <row r="636" spans="1:14" x14ac:dyDescent="0.3">
      <c r="A636" t="s">
        <v>736</v>
      </c>
      <c r="B636" s="1">
        <v>9144</v>
      </c>
      <c r="C636" s="1">
        <f t="shared" si="18"/>
        <v>6924</v>
      </c>
      <c r="D636">
        <v>2220</v>
      </c>
      <c r="E636">
        <v>18</v>
      </c>
      <c r="F636" t="s">
        <v>32</v>
      </c>
      <c r="G636" t="s">
        <v>80</v>
      </c>
      <c r="H636" t="s">
        <v>49</v>
      </c>
      <c r="I636" s="2">
        <v>44360</v>
      </c>
      <c r="J636" t="s">
        <v>737</v>
      </c>
      <c r="K636" t="s">
        <v>19</v>
      </c>
      <c r="L636" t="s">
        <v>20</v>
      </c>
      <c r="M636" t="s">
        <v>127</v>
      </c>
      <c r="N636" t="str">
        <f t="shared" si="19"/>
        <v>June</v>
      </c>
    </row>
    <row r="637" spans="1:14" x14ac:dyDescent="0.3">
      <c r="A637" t="s">
        <v>738</v>
      </c>
      <c r="B637" s="1">
        <v>4146</v>
      </c>
      <c r="C637" s="1">
        <f t="shared" si="18"/>
        <v>3281</v>
      </c>
      <c r="D637">
        <v>865</v>
      </c>
      <c r="E637">
        <v>19</v>
      </c>
      <c r="F637" t="s">
        <v>47</v>
      </c>
      <c r="G637" t="s">
        <v>48</v>
      </c>
      <c r="H637" t="s">
        <v>42</v>
      </c>
      <c r="I637" s="2">
        <v>44746</v>
      </c>
      <c r="J637" t="s">
        <v>739</v>
      </c>
      <c r="K637" t="s">
        <v>73</v>
      </c>
      <c r="L637" t="s">
        <v>140</v>
      </c>
      <c r="M637" t="s">
        <v>420</v>
      </c>
      <c r="N637" t="str">
        <f t="shared" si="19"/>
        <v>July</v>
      </c>
    </row>
    <row r="638" spans="1:14" x14ac:dyDescent="0.3">
      <c r="A638" t="s">
        <v>738</v>
      </c>
      <c r="B638" s="1">
        <v>3793</v>
      </c>
      <c r="C638" s="1">
        <f t="shared" si="18"/>
        <v>2918</v>
      </c>
      <c r="D638">
        <v>875</v>
      </c>
      <c r="E638">
        <v>7</v>
      </c>
      <c r="F638" t="s">
        <v>47</v>
      </c>
      <c r="G638" t="s">
        <v>48</v>
      </c>
      <c r="H638" t="s">
        <v>42</v>
      </c>
      <c r="I638" s="2">
        <v>44746</v>
      </c>
      <c r="J638" t="s">
        <v>739</v>
      </c>
      <c r="K638" t="s">
        <v>73</v>
      </c>
      <c r="L638" t="s">
        <v>140</v>
      </c>
      <c r="M638" t="s">
        <v>420</v>
      </c>
      <c r="N638" t="str">
        <f t="shared" si="19"/>
        <v>July</v>
      </c>
    </row>
    <row r="639" spans="1:14" x14ac:dyDescent="0.3">
      <c r="A639" t="s">
        <v>740</v>
      </c>
      <c r="B639" s="1">
        <v>7169</v>
      </c>
      <c r="C639" s="1">
        <f t="shared" si="18"/>
        <v>4784</v>
      </c>
      <c r="D639">
        <v>2385</v>
      </c>
      <c r="E639">
        <v>11</v>
      </c>
      <c r="F639" t="s">
        <v>47</v>
      </c>
      <c r="G639" t="s">
        <v>62</v>
      </c>
      <c r="H639" t="s">
        <v>67</v>
      </c>
      <c r="I639" s="2">
        <v>44374</v>
      </c>
      <c r="J639" t="s">
        <v>741</v>
      </c>
      <c r="K639" t="s">
        <v>44</v>
      </c>
      <c r="L639" t="s">
        <v>45</v>
      </c>
      <c r="M639" t="s">
        <v>127</v>
      </c>
      <c r="N639" t="str">
        <f t="shared" si="19"/>
        <v>June</v>
      </c>
    </row>
    <row r="640" spans="1:14" x14ac:dyDescent="0.3">
      <c r="A640" t="s">
        <v>740</v>
      </c>
      <c r="B640" s="1">
        <v>4046</v>
      </c>
      <c r="C640" s="1">
        <f t="shared" si="18"/>
        <v>3629</v>
      </c>
      <c r="D640">
        <v>417</v>
      </c>
      <c r="E640">
        <v>18</v>
      </c>
      <c r="F640" t="s">
        <v>47</v>
      </c>
      <c r="G640" t="s">
        <v>51</v>
      </c>
      <c r="H640" t="s">
        <v>49</v>
      </c>
      <c r="I640" s="2">
        <v>44374</v>
      </c>
      <c r="J640" t="s">
        <v>741</v>
      </c>
      <c r="K640" t="s">
        <v>44</v>
      </c>
      <c r="L640" t="s">
        <v>45</v>
      </c>
      <c r="M640" t="s">
        <v>127</v>
      </c>
      <c r="N640" t="str">
        <f t="shared" si="19"/>
        <v>June</v>
      </c>
    </row>
    <row r="641" spans="1:14" x14ac:dyDescent="0.3">
      <c r="A641" t="s">
        <v>742</v>
      </c>
      <c r="B641" s="1">
        <v>4164</v>
      </c>
      <c r="C641" s="1">
        <f t="shared" si="18"/>
        <v>3259</v>
      </c>
      <c r="D641">
        <v>905</v>
      </c>
      <c r="E641">
        <v>11</v>
      </c>
      <c r="F641" t="s">
        <v>15</v>
      </c>
      <c r="G641" t="s">
        <v>84</v>
      </c>
      <c r="H641" t="s">
        <v>67</v>
      </c>
      <c r="I641" s="2">
        <v>45264</v>
      </c>
      <c r="J641" t="s">
        <v>743</v>
      </c>
      <c r="K641" t="s">
        <v>44</v>
      </c>
      <c r="L641" t="s">
        <v>77</v>
      </c>
      <c r="M641" t="s">
        <v>104</v>
      </c>
      <c r="N641" t="str">
        <f t="shared" si="19"/>
        <v>December</v>
      </c>
    </row>
    <row r="642" spans="1:14" x14ac:dyDescent="0.3">
      <c r="A642" t="s">
        <v>742</v>
      </c>
      <c r="B642" s="1">
        <v>5389</v>
      </c>
      <c r="C642" s="1">
        <f t="shared" ref="C642:C705" si="20">B642-D642</f>
        <v>3193</v>
      </c>
      <c r="D642">
        <v>2196</v>
      </c>
      <c r="E642">
        <v>5</v>
      </c>
      <c r="F642" t="s">
        <v>47</v>
      </c>
      <c r="G642" t="s">
        <v>48</v>
      </c>
      <c r="H642" t="s">
        <v>17</v>
      </c>
      <c r="I642" s="2">
        <v>45264</v>
      </c>
      <c r="J642" t="s">
        <v>743</v>
      </c>
      <c r="K642" t="s">
        <v>44</v>
      </c>
      <c r="L642" t="s">
        <v>77</v>
      </c>
      <c r="M642" t="s">
        <v>104</v>
      </c>
      <c r="N642" t="str">
        <f t="shared" si="19"/>
        <v>December</v>
      </c>
    </row>
    <row r="643" spans="1:14" x14ac:dyDescent="0.3">
      <c r="A643" t="s">
        <v>744</v>
      </c>
      <c r="B643" s="1">
        <v>5448</v>
      </c>
      <c r="C643" s="1">
        <f t="shared" si="20"/>
        <v>3244</v>
      </c>
      <c r="D643">
        <v>2204</v>
      </c>
      <c r="E643">
        <v>5</v>
      </c>
      <c r="F643" t="s">
        <v>47</v>
      </c>
      <c r="G643" t="s">
        <v>62</v>
      </c>
      <c r="H643" t="s">
        <v>67</v>
      </c>
      <c r="I643" s="2">
        <v>44782</v>
      </c>
      <c r="J643" t="s">
        <v>745</v>
      </c>
      <c r="K643" t="s">
        <v>27</v>
      </c>
      <c r="L643" t="s">
        <v>53</v>
      </c>
      <c r="M643" t="s">
        <v>211</v>
      </c>
      <c r="N643" t="str">
        <f t="shared" ref="N643:N706" si="21">TEXT(DATE(LEFT(M643,4),RIGHT(M643,2),1),"mmmm")</f>
        <v>August</v>
      </c>
    </row>
    <row r="644" spans="1:14" x14ac:dyDescent="0.3">
      <c r="A644" t="s">
        <v>746</v>
      </c>
      <c r="B644" s="1">
        <v>4115</v>
      </c>
      <c r="C644" s="1">
        <f t="shared" si="20"/>
        <v>2830</v>
      </c>
      <c r="D644">
        <v>1285</v>
      </c>
      <c r="E644">
        <v>1</v>
      </c>
      <c r="F644" t="s">
        <v>47</v>
      </c>
      <c r="G644" t="s">
        <v>62</v>
      </c>
      <c r="H644" t="s">
        <v>17</v>
      </c>
      <c r="I644" s="2">
        <v>43929</v>
      </c>
      <c r="J644" t="s">
        <v>747</v>
      </c>
      <c r="K644" t="s">
        <v>19</v>
      </c>
      <c r="L644" t="s">
        <v>36</v>
      </c>
      <c r="M644" t="s">
        <v>164</v>
      </c>
      <c r="N644" t="str">
        <f t="shared" si="21"/>
        <v>April</v>
      </c>
    </row>
    <row r="645" spans="1:14" x14ac:dyDescent="0.3">
      <c r="A645" t="s">
        <v>746</v>
      </c>
      <c r="B645" s="1">
        <v>4761</v>
      </c>
      <c r="C645" s="1">
        <f t="shared" si="20"/>
        <v>2530</v>
      </c>
      <c r="D645">
        <v>2231</v>
      </c>
      <c r="E645">
        <v>12</v>
      </c>
      <c r="F645" t="s">
        <v>47</v>
      </c>
      <c r="G645" t="s">
        <v>48</v>
      </c>
      <c r="H645" t="s">
        <v>17</v>
      </c>
      <c r="I645" s="2">
        <v>43929</v>
      </c>
      <c r="J645" t="s">
        <v>747</v>
      </c>
      <c r="K645" t="s">
        <v>19</v>
      </c>
      <c r="L645" t="s">
        <v>36</v>
      </c>
      <c r="M645" t="s">
        <v>164</v>
      </c>
      <c r="N645" t="str">
        <f t="shared" si="21"/>
        <v>April</v>
      </c>
    </row>
    <row r="646" spans="1:14" x14ac:dyDescent="0.3">
      <c r="A646" t="s">
        <v>748</v>
      </c>
      <c r="B646" s="1">
        <v>5899</v>
      </c>
      <c r="C646" s="1">
        <f t="shared" si="20"/>
        <v>3635</v>
      </c>
      <c r="D646">
        <v>2264</v>
      </c>
      <c r="E646">
        <v>6</v>
      </c>
      <c r="F646" t="s">
        <v>32</v>
      </c>
      <c r="G646" t="s">
        <v>80</v>
      </c>
      <c r="H646" t="s">
        <v>42</v>
      </c>
      <c r="I646" s="2">
        <v>45219</v>
      </c>
      <c r="J646" t="s">
        <v>749</v>
      </c>
      <c r="K646" t="s">
        <v>27</v>
      </c>
      <c r="L646" t="s">
        <v>28</v>
      </c>
      <c r="M646" t="s">
        <v>444</v>
      </c>
      <c r="N646" t="str">
        <f t="shared" si="21"/>
        <v>October</v>
      </c>
    </row>
    <row r="647" spans="1:14" x14ac:dyDescent="0.3">
      <c r="A647" t="s">
        <v>750</v>
      </c>
      <c r="B647" s="1">
        <v>6109</v>
      </c>
      <c r="C647" s="1">
        <f t="shared" si="20"/>
        <v>3069</v>
      </c>
      <c r="D647">
        <v>3040</v>
      </c>
      <c r="E647">
        <v>9</v>
      </c>
      <c r="F647" t="s">
        <v>47</v>
      </c>
      <c r="G647" t="s">
        <v>51</v>
      </c>
      <c r="H647" t="s">
        <v>42</v>
      </c>
      <c r="I647" s="2">
        <v>44602</v>
      </c>
      <c r="J647" t="s">
        <v>751</v>
      </c>
      <c r="K647" t="s">
        <v>27</v>
      </c>
      <c r="L647" t="s">
        <v>28</v>
      </c>
      <c r="M647" t="s">
        <v>139</v>
      </c>
      <c r="N647" t="str">
        <f t="shared" si="21"/>
        <v>February</v>
      </c>
    </row>
    <row r="648" spans="1:14" x14ac:dyDescent="0.3">
      <c r="A648" t="s">
        <v>750</v>
      </c>
      <c r="B648" s="1">
        <v>6109</v>
      </c>
      <c r="C648" s="1">
        <f t="shared" si="20"/>
        <v>3069</v>
      </c>
      <c r="D648">
        <v>3040</v>
      </c>
      <c r="E648">
        <v>9</v>
      </c>
      <c r="F648" t="s">
        <v>47</v>
      </c>
      <c r="G648" t="s">
        <v>51</v>
      </c>
      <c r="H648" t="s">
        <v>42</v>
      </c>
      <c r="I648" s="2">
        <v>45204</v>
      </c>
      <c r="J648" t="s">
        <v>752</v>
      </c>
      <c r="K648" t="s">
        <v>27</v>
      </c>
      <c r="L648" t="s">
        <v>70</v>
      </c>
      <c r="M648" t="s">
        <v>444</v>
      </c>
      <c r="N648" t="str">
        <f t="shared" si="21"/>
        <v>October</v>
      </c>
    </row>
    <row r="649" spans="1:14" x14ac:dyDescent="0.3">
      <c r="A649" t="s">
        <v>750</v>
      </c>
      <c r="B649" s="1">
        <v>4628</v>
      </c>
      <c r="C649" s="1">
        <f t="shared" si="20"/>
        <v>3137</v>
      </c>
      <c r="D649">
        <v>1491</v>
      </c>
      <c r="E649">
        <v>17</v>
      </c>
      <c r="F649" t="s">
        <v>15</v>
      </c>
      <c r="G649" t="s">
        <v>16</v>
      </c>
      <c r="H649" t="s">
        <v>17</v>
      </c>
      <c r="I649" s="2">
        <v>44602</v>
      </c>
      <c r="J649" t="s">
        <v>751</v>
      </c>
      <c r="K649" t="s">
        <v>27</v>
      </c>
      <c r="L649" t="s">
        <v>28</v>
      </c>
      <c r="M649" t="s">
        <v>139</v>
      </c>
      <c r="N649" t="str">
        <f t="shared" si="21"/>
        <v>February</v>
      </c>
    </row>
    <row r="650" spans="1:14" x14ac:dyDescent="0.3">
      <c r="A650" t="s">
        <v>750</v>
      </c>
      <c r="B650" s="1">
        <v>4628</v>
      </c>
      <c r="C650" s="1">
        <f t="shared" si="20"/>
        <v>3137</v>
      </c>
      <c r="D650">
        <v>1491</v>
      </c>
      <c r="E650">
        <v>17</v>
      </c>
      <c r="F650" t="s">
        <v>15</v>
      </c>
      <c r="G650" t="s">
        <v>16</v>
      </c>
      <c r="H650" t="s">
        <v>17</v>
      </c>
      <c r="I650" s="2">
        <v>45204</v>
      </c>
      <c r="J650" t="s">
        <v>752</v>
      </c>
      <c r="K650" t="s">
        <v>27</v>
      </c>
      <c r="L650" t="s">
        <v>70</v>
      </c>
      <c r="M650" t="s">
        <v>444</v>
      </c>
      <c r="N650" t="str">
        <f t="shared" si="21"/>
        <v>October</v>
      </c>
    </row>
    <row r="651" spans="1:14" x14ac:dyDescent="0.3">
      <c r="A651" t="s">
        <v>753</v>
      </c>
      <c r="B651" s="1">
        <v>4369</v>
      </c>
      <c r="C651" s="1">
        <f t="shared" si="20"/>
        <v>3785</v>
      </c>
      <c r="D651">
        <v>584</v>
      </c>
      <c r="E651">
        <v>13</v>
      </c>
      <c r="F651" t="s">
        <v>32</v>
      </c>
      <c r="G651" t="s">
        <v>33</v>
      </c>
      <c r="H651" t="s">
        <v>49</v>
      </c>
      <c r="I651" s="2">
        <v>44826</v>
      </c>
      <c r="J651" t="s">
        <v>754</v>
      </c>
      <c r="K651" t="s">
        <v>23</v>
      </c>
      <c r="L651" t="s">
        <v>174</v>
      </c>
      <c r="M651" t="s">
        <v>133</v>
      </c>
      <c r="N651" t="str">
        <f t="shared" si="21"/>
        <v>September</v>
      </c>
    </row>
    <row r="652" spans="1:14" x14ac:dyDescent="0.3">
      <c r="A652" t="s">
        <v>753</v>
      </c>
      <c r="B652" s="1">
        <v>4369</v>
      </c>
      <c r="C652" s="1">
        <f t="shared" si="20"/>
        <v>3785</v>
      </c>
      <c r="D652">
        <v>584</v>
      </c>
      <c r="E652">
        <v>13</v>
      </c>
      <c r="F652" t="s">
        <v>32</v>
      </c>
      <c r="G652" t="s">
        <v>33</v>
      </c>
      <c r="H652" t="s">
        <v>49</v>
      </c>
      <c r="I652" s="2">
        <v>44289</v>
      </c>
      <c r="J652" t="s">
        <v>755</v>
      </c>
      <c r="K652" t="s">
        <v>73</v>
      </c>
      <c r="L652" t="s">
        <v>88</v>
      </c>
      <c r="M652" t="s">
        <v>141</v>
      </c>
      <c r="N652" t="str">
        <f t="shared" si="21"/>
        <v>April</v>
      </c>
    </row>
    <row r="653" spans="1:14" x14ac:dyDescent="0.3">
      <c r="A653" t="s">
        <v>756</v>
      </c>
      <c r="B653" s="1">
        <v>5632</v>
      </c>
      <c r="C653" s="1">
        <f t="shared" si="20"/>
        <v>3274</v>
      </c>
      <c r="D653">
        <v>2358</v>
      </c>
      <c r="E653">
        <v>20</v>
      </c>
      <c r="F653" t="s">
        <v>47</v>
      </c>
      <c r="G653" t="s">
        <v>62</v>
      </c>
      <c r="H653" t="s">
        <v>49</v>
      </c>
      <c r="I653" s="2">
        <v>44319</v>
      </c>
      <c r="J653" t="s">
        <v>757</v>
      </c>
      <c r="K653" t="s">
        <v>44</v>
      </c>
      <c r="L653" t="s">
        <v>45</v>
      </c>
      <c r="M653" t="s">
        <v>110</v>
      </c>
      <c r="N653" t="str">
        <f t="shared" si="21"/>
        <v>May</v>
      </c>
    </row>
    <row r="654" spans="1:14" x14ac:dyDescent="0.3">
      <c r="A654" t="s">
        <v>756</v>
      </c>
      <c r="B654" s="1">
        <v>5632</v>
      </c>
      <c r="C654" s="1">
        <f t="shared" si="20"/>
        <v>3274</v>
      </c>
      <c r="D654">
        <v>2358</v>
      </c>
      <c r="E654">
        <v>20</v>
      </c>
      <c r="F654" t="s">
        <v>47</v>
      </c>
      <c r="G654" t="s">
        <v>62</v>
      </c>
      <c r="H654" t="s">
        <v>49</v>
      </c>
      <c r="I654" s="2">
        <v>45333</v>
      </c>
      <c r="J654" t="s">
        <v>758</v>
      </c>
      <c r="K654" t="s">
        <v>19</v>
      </c>
      <c r="L654" t="s">
        <v>20</v>
      </c>
      <c r="M654" t="s">
        <v>220</v>
      </c>
      <c r="N654" t="str">
        <f t="shared" si="21"/>
        <v>February</v>
      </c>
    </row>
    <row r="655" spans="1:14" x14ac:dyDescent="0.3">
      <c r="A655" t="s">
        <v>756</v>
      </c>
      <c r="B655" s="1">
        <v>5632</v>
      </c>
      <c r="C655" s="1">
        <f t="shared" si="20"/>
        <v>3274</v>
      </c>
      <c r="D655">
        <v>2358</v>
      </c>
      <c r="E655">
        <v>20</v>
      </c>
      <c r="F655" t="s">
        <v>47</v>
      </c>
      <c r="G655" t="s">
        <v>62</v>
      </c>
      <c r="H655" t="s">
        <v>49</v>
      </c>
      <c r="I655" s="2">
        <v>45692</v>
      </c>
      <c r="J655" t="s">
        <v>759</v>
      </c>
      <c r="K655" t="s">
        <v>100</v>
      </c>
      <c r="L655" t="s">
        <v>119</v>
      </c>
      <c r="M655" t="s">
        <v>75</v>
      </c>
      <c r="N655" t="str">
        <f t="shared" si="21"/>
        <v>February</v>
      </c>
    </row>
    <row r="656" spans="1:14" x14ac:dyDescent="0.3">
      <c r="A656" t="s">
        <v>760</v>
      </c>
      <c r="B656" s="1">
        <v>7519</v>
      </c>
      <c r="C656" s="1">
        <f t="shared" si="20"/>
        <v>7117</v>
      </c>
      <c r="D656">
        <v>402</v>
      </c>
      <c r="E656">
        <v>14</v>
      </c>
      <c r="F656" t="s">
        <v>32</v>
      </c>
      <c r="G656" t="s">
        <v>66</v>
      </c>
      <c r="H656" t="s">
        <v>17</v>
      </c>
      <c r="I656" s="2">
        <v>44846</v>
      </c>
      <c r="J656" t="s">
        <v>761</v>
      </c>
      <c r="K656" t="s">
        <v>44</v>
      </c>
      <c r="L656" t="s">
        <v>77</v>
      </c>
      <c r="M656" t="s">
        <v>98</v>
      </c>
      <c r="N656" t="str">
        <f t="shared" si="21"/>
        <v>October</v>
      </c>
    </row>
    <row r="657" spans="1:14" x14ac:dyDescent="0.3">
      <c r="A657" t="s">
        <v>760</v>
      </c>
      <c r="B657" s="1">
        <v>1564</v>
      </c>
      <c r="C657" s="1">
        <f t="shared" si="20"/>
        <v>890</v>
      </c>
      <c r="D657">
        <v>674</v>
      </c>
      <c r="E657">
        <v>13</v>
      </c>
      <c r="F657" t="s">
        <v>15</v>
      </c>
      <c r="G657" t="s">
        <v>16</v>
      </c>
      <c r="H657" t="s">
        <v>34</v>
      </c>
      <c r="I657" s="2">
        <v>44846</v>
      </c>
      <c r="J657" t="s">
        <v>761</v>
      </c>
      <c r="K657" t="s">
        <v>44</v>
      </c>
      <c r="L657" t="s">
        <v>77</v>
      </c>
      <c r="M657" t="s">
        <v>98</v>
      </c>
      <c r="N657" t="str">
        <f t="shared" si="21"/>
        <v>October</v>
      </c>
    </row>
    <row r="658" spans="1:14" x14ac:dyDescent="0.3">
      <c r="A658" t="s">
        <v>762</v>
      </c>
      <c r="B658" s="1">
        <v>2804</v>
      </c>
      <c r="C658" s="1">
        <f t="shared" si="20"/>
        <v>1868</v>
      </c>
      <c r="D658">
        <v>936</v>
      </c>
      <c r="E658">
        <v>10</v>
      </c>
      <c r="F658" t="s">
        <v>15</v>
      </c>
      <c r="G658" t="s">
        <v>16</v>
      </c>
      <c r="H658" t="s">
        <v>49</v>
      </c>
      <c r="I658" s="2">
        <v>44598</v>
      </c>
      <c r="J658" t="s">
        <v>763</v>
      </c>
      <c r="K658" t="s">
        <v>73</v>
      </c>
      <c r="L658" t="s">
        <v>88</v>
      </c>
      <c r="M658" t="s">
        <v>139</v>
      </c>
      <c r="N658" t="str">
        <f t="shared" si="21"/>
        <v>February</v>
      </c>
    </row>
    <row r="659" spans="1:14" x14ac:dyDescent="0.3">
      <c r="A659" t="s">
        <v>762</v>
      </c>
      <c r="B659" s="1">
        <v>2804</v>
      </c>
      <c r="C659" s="1">
        <f t="shared" si="20"/>
        <v>1868</v>
      </c>
      <c r="D659">
        <v>936</v>
      </c>
      <c r="E659">
        <v>10</v>
      </c>
      <c r="F659" t="s">
        <v>15</v>
      </c>
      <c r="G659" t="s">
        <v>16</v>
      </c>
      <c r="H659" t="s">
        <v>49</v>
      </c>
      <c r="I659" s="2">
        <v>44144</v>
      </c>
      <c r="J659" t="s">
        <v>764</v>
      </c>
      <c r="K659" t="s">
        <v>19</v>
      </c>
      <c r="L659" t="s">
        <v>152</v>
      </c>
      <c r="M659" t="s">
        <v>82</v>
      </c>
      <c r="N659" t="str">
        <f t="shared" si="21"/>
        <v>November</v>
      </c>
    </row>
    <row r="660" spans="1:14" x14ac:dyDescent="0.3">
      <c r="A660" t="s">
        <v>762</v>
      </c>
      <c r="B660" s="1">
        <v>2804</v>
      </c>
      <c r="C660" s="1">
        <f t="shared" si="20"/>
        <v>1868</v>
      </c>
      <c r="D660">
        <v>936</v>
      </c>
      <c r="E660">
        <v>10</v>
      </c>
      <c r="F660" t="s">
        <v>15</v>
      </c>
      <c r="G660" t="s">
        <v>16</v>
      </c>
      <c r="H660" t="s">
        <v>49</v>
      </c>
      <c r="I660" s="2">
        <v>45049</v>
      </c>
      <c r="J660" t="s">
        <v>765</v>
      </c>
      <c r="K660" t="s">
        <v>19</v>
      </c>
      <c r="L660" t="s">
        <v>152</v>
      </c>
      <c r="M660" t="s">
        <v>129</v>
      </c>
      <c r="N660" t="str">
        <f t="shared" si="21"/>
        <v>May</v>
      </c>
    </row>
    <row r="661" spans="1:14" x14ac:dyDescent="0.3">
      <c r="A661" t="s">
        <v>766</v>
      </c>
      <c r="B661" s="1">
        <v>2321</v>
      </c>
      <c r="C661" s="1">
        <f t="shared" si="20"/>
        <v>1816</v>
      </c>
      <c r="D661">
        <v>505</v>
      </c>
      <c r="E661">
        <v>6</v>
      </c>
      <c r="F661" t="s">
        <v>47</v>
      </c>
      <c r="G661" t="s">
        <v>51</v>
      </c>
      <c r="H661" t="s">
        <v>42</v>
      </c>
      <c r="I661" s="2">
        <v>44838</v>
      </c>
      <c r="J661" t="s">
        <v>767</v>
      </c>
      <c r="K661" t="s">
        <v>23</v>
      </c>
      <c r="L661" t="s">
        <v>65</v>
      </c>
      <c r="M661" t="s">
        <v>98</v>
      </c>
      <c r="N661" t="str">
        <f t="shared" si="21"/>
        <v>October</v>
      </c>
    </row>
    <row r="662" spans="1:14" x14ac:dyDescent="0.3">
      <c r="A662" t="s">
        <v>768</v>
      </c>
      <c r="B662" s="1">
        <v>5730</v>
      </c>
      <c r="C662" s="1">
        <f t="shared" si="20"/>
        <v>5248</v>
      </c>
      <c r="D662">
        <v>482</v>
      </c>
      <c r="E662">
        <v>6</v>
      </c>
      <c r="F662" t="s">
        <v>15</v>
      </c>
      <c r="G662" t="s">
        <v>41</v>
      </c>
      <c r="H662" t="s">
        <v>67</v>
      </c>
      <c r="I662" s="2">
        <v>45525</v>
      </c>
      <c r="J662" t="s">
        <v>769</v>
      </c>
      <c r="K662" t="s">
        <v>19</v>
      </c>
      <c r="L662" t="s">
        <v>152</v>
      </c>
      <c r="M662" t="s">
        <v>116</v>
      </c>
      <c r="N662" t="str">
        <f t="shared" si="21"/>
        <v>August</v>
      </c>
    </row>
    <row r="663" spans="1:14" x14ac:dyDescent="0.3">
      <c r="A663" t="s">
        <v>770</v>
      </c>
      <c r="B663" s="1">
        <v>7441</v>
      </c>
      <c r="C663" s="1">
        <f t="shared" si="20"/>
        <v>6574</v>
      </c>
      <c r="D663">
        <v>867</v>
      </c>
      <c r="E663">
        <v>12</v>
      </c>
      <c r="F663" t="s">
        <v>47</v>
      </c>
      <c r="G663" t="s">
        <v>62</v>
      </c>
      <c r="H663" t="s">
        <v>67</v>
      </c>
      <c r="I663" s="2">
        <v>44520</v>
      </c>
      <c r="J663" t="s">
        <v>771</v>
      </c>
      <c r="K663" t="s">
        <v>23</v>
      </c>
      <c r="L663" t="s">
        <v>24</v>
      </c>
      <c r="M663" t="s">
        <v>177</v>
      </c>
      <c r="N663" t="str">
        <f t="shared" si="21"/>
        <v>November</v>
      </c>
    </row>
    <row r="664" spans="1:14" x14ac:dyDescent="0.3">
      <c r="A664" t="s">
        <v>770</v>
      </c>
      <c r="B664" s="1">
        <v>7441</v>
      </c>
      <c r="C664" s="1">
        <f t="shared" si="20"/>
        <v>6574</v>
      </c>
      <c r="D664">
        <v>867</v>
      </c>
      <c r="E664">
        <v>12</v>
      </c>
      <c r="F664" t="s">
        <v>47</v>
      </c>
      <c r="G664" t="s">
        <v>62</v>
      </c>
      <c r="H664" t="s">
        <v>67</v>
      </c>
      <c r="I664" s="2">
        <v>43964</v>
      </c>
      <c r="J664" t="s">
        <v>772</v>
      </c>
      <c r="K664" t="s">
        <v>73</v>
      </c>
      <c r="L664" t="s">
        <v>88</v>
      </c>
      <c r="M664" t="s">
        <v>61</v>
      </c>
      <c r="N664" t="str">
        <f t="shared" si="21"/>
        <v>May</v>
      </c>
    </row>
    <row r="665" spans="1:14" x14ac:dyDescent="0.3">
      <c r="A665" t="s">
        <v>773</v>
      </c>
      <c r="B665" s="1">
        <v>1732</v>
      </c>
      <c r="C665" s="1">
        <f t="shared" si="20"/>
        <v>966</v>
      </c>
      <c r="D665">
        <v>766</v>
      </c>
      <c r="E665">
        <v>7</v>
      </c>
      <c r="F665" t="s">
        <v>32</v>
      </c>
      <c r="G665" t="s">
        <v>80</v>
      </c>
      <c r="H665" t="s">
        <v>17</v>
      </c>
      <c r="I665" s="2">
        <v>44985</v>
      </c>
      <c r="J665" t="s">
        <v>774</v>
      </c>
      <c r="K665" t="s">
        <v>27</v>
      </c>
      <c r="L665" t="s">
        <v>53</v>
      </c>
      <c r="M665" t="s">
        <v>95</v>
      </c>
      <c r="N665" t="str">
        <f t="shared" si="21"/>
        <v>February</v>
      </c>
    </row>
    <row r="666" spans="1:14" x14ac:dyDescent="0.3">
      <c r="A666" t="s">
        <v>773</v>
      </c>
      <c r="B666" s="1">
        <v>8788</v>
      </c>
      <c r="C666" s="1">
        <f t="shared" si="20"/>
        <v>4844</v>
      </c>
      <c r="D666">
        <v>3944</v>
      </c>
      <c r="E666">
        <v>19</v>
      </c>
      <c r="F666" t="s">
        <v>32</v>
      </c>
      <c r="G666" t="s">
        <v>66</v>
      </c>
      <c r="H666" t="s">
        <v>42</v>
      </c>
      <c r="I666" s="2">
        <v>44985</v>
      </c>
      <c r="J666" t="s">
        <v>774</v>
      </c>
      <c r="K666" t="s">
        <v>27</v>
      </c>
      <c r="L666" t="s">
        <v>53</v>
      </c>
      <c r="M666" t="s">
        <v>95</v>
      </c>
      <c r="N666" t="str">
        <f t="shared" si="21"/>
        <v>February</v>
      </c>
    </row>
    <row r="667" spans="1:14" x14ac:dyDescent="0.3">
      <c r="A667" t="s">
        <v>775</v>
      </c>
      <c r="B667" s="1">
        <v>838</v>
      </c>
      <c r="C667" s="1">
        <f t="shared" si="20"/>
        <v>567</v>
      </c>
      <c r="D667">
        <v>271</v>
      </c>
      <c r="E667">
        <v>11</v>
      </c>
      <c r="F667" t="s">
        <v>32</v>
      </c>
      <c r="G667" t="s">
        <v>59</v>
      </c>
      <c r="H667" t="s">
        <v>42</v>
      </c>
      <c r="I667" s="2">
        <v>44217</v>
      </c>
      <c r="J667" t="s">
        <v>776</v>
      </c>
      <c r="K667" t="s">
        <v>100</v>
      </c>
      <c r="L667" t="s">
        <v>101</v>
      </c>
      <c r="M667" t="s">
        <v>278</v>
      </c>
      <c r="N667" t="str">
        <f t="shared" si="21"/>
        <v>January</v>
      </c>
    </row>
    <row r="668" spans="1:14" x14ac:dyDescent="0.3">
      <c r="A668" t="s">
        <v>775</v>
      </c>
      <c r="B668" s="1">
        <v>838</v>
      </c>
      <c r="C668" s="1">
        <f t="shared" si="20"/>
        <v>567</v>
      </c>
      <c r="D668">
        <v>271</v>
      </c>
      <c r="E668">
        <v>11</v>
      </c>
      <c r="F668" t="s">
        <v>32</v>
      </c>
      <c r="G668" t="s">
        <v>59</v>
      </c>
      <c r="H668" t="s">
        <v>42</v>
      </c>
      <c r="I668" s="2">
        <v>44620</v>
      </c>
      <c r="J668" t="s">
        <v>777</v>
      </c>
      <c r="K668" t="s">
        <v>23</v>
      </c>
      <c r="L668" t="s">
        <v>174</v>
      </c>
      <c r="M668" t="s">
        <v>139</v>
      </c>
      <c r="N668" t="str">
        <f t="shared" si="21"/>
        <v>February</v>
      </c>
    </row>
    <row r="669" spans="1:14" x14ac:dyDescent="0.3">
      <c r="A669" t="s">
        <v>775</v>
      </c>
      <c r="B669" s="1">
        <v>3577</v>
      </c>
      <c r="C669" s="1">
        <f t="shared" si="20"/>
        <v>2878</v>
      </c>
      <c r="D669">
        <v>699</v>
      </c>
      <c r="E669">
        <v>2</v>
      </c>
      <c r="F669" t="s">
        <v>47</v>
      </c>
      <c r="G669" t="s">
        <v>48</v>
      </c>
      <c r="H669" t="s">
        <v>17</v>
      </c>
      <c r="I669" s="2">
        <v>44217</v>
      </c>
      <c r="J669" t="s">
        <v>776</v>
      </c>
      <c r="K669" t="s">
        <v>100</v>
      </c>
      <c r="L669" t="s">
        <v>101</v>
      </c>
      <c r="M669" t="s">
        <v>278</v>
      </c>
      <c r="N669" t="str">
        <f t="shared" si="21"/>
        <v>January</v>
      </c>
    </row>
    <row r="670" spans="1:14" x14ac:dyDescent="0.3">
      <c r="A670" t="s">
        <v>775</v>
      </c>
      <c r="B670" s="1">
        <v>3577</v>
      </c>
      <c r="C670" s="1">
        <f t="shared" si="20"/>
        <v>2878</v>
      </c>
      <c r="D670">
        <v>699</v>
      </c>
      <c r="E670">
        <v>2</v>
      </c>
      <c r="F670" t="s">
        <v>47</v>
      </c>
      <c r="G670" t="s">
        <v>48</v>
      </c>
      <c r="H670" t="s">
        <v>17</v>
      </c>
      <c r="I670" s="2">
        <v>44620</v>
      </c>
      <c r="J670" t="s">
        <v>777</v>
      </c>
      <c r="K670" t="s">
        <v>23</v>
      </c>
      <c r="L670" t="s">
        <v>174</v>
      </c>
      <c r="M670" t="s">
        <v>139</v>
      </c>
      <c r="N670" t="str">
        <f t="shared" si="21"/>
        <v>February</v>
      </c>
    </row>
    <row r="671" spans="1:14" x14ac:dyDescent="0.3">
      <c r="A671" t="s">
        <v>778</v>
      </c>
      <c r="B671" s="1">
        <v>7122</v>
      </c>
      <c r="C671" s="1">
        <f t="shared" si="20"/>
        <v>5286</v>
      </c>
      <c r="D671">
        <v>1836</v>
      </c>
      <c r="E671">
        <v>6</v>
      </c>
      <c r="F671" t="s">
        <v>15</v>
      </c>
      <c r="G671" t="s">
        <v>84</v>
      </c>
      <c r="H671" t="s">
        <v>34</v>
      </c>
      <c r="I671" s="2">
        <v>45407</v>
      </c>
      <c r="J671" t="s">
        <v>779</v>
      </c>
      <c r="K671" t="s">
        <v>73</v>
      </c>
      <c r="L671" t="s">
        <v>74</v>
      </c>
      <c r="M671" t="s">
        <v>237</v>
      </c>
      <c r="N671" t="str">
        <f t="shared" si="21"/>
        <v>April</v>
      </c>
    </row>
    <row r="672" spans="1:14" x14ac:dyDescent="0.3">
      <c r="A672" t="s">
        <v>778</v>
      </c>
      <c r="B672" s="1">
        <v>7122</v>
      </c>
      <c r="C672" s="1">
        <f t="shared" si="20"/>
        <v>5286</v>
      </c>
      <c r="D672">
        <v>1836</v>
      </c>
      <c r="E672">
        <v>6</v>
      </c>
      <c r="F672" t="s">
        <v>15</v>
      </c>
      <c r="G672" t="s">
        <v>84</v>
      </c>
      <c r="H672" t="s">
        <v>34</v>
      </c>
      <c r="I672" s="2">
        <v>44995</v>
      </c>
      <c r="J672" t="s">
        <v>780</v>
      </c>
      <c r="K672" t="s">
        <v>73</v>
      </c>
      <c r="L672" t="s">
        <v>140</v>
      </c>
      <c r="M672" t="s">
        <v>247</v>
      </c>
      <c r="N672" t="str">
        <f t="shared" si="21"/>
        <v>March</v>
      </c>
    </row>
    <row r="673" spans="1:14" x14ac:dyDescent="0.3">
      <c r="A673" t="s">
        <v>778</v>
      </c>
      <c r="B673" s="1">
        <v>7122</v>
      </c>
      <c r="C673" s="1">
        <f t="shared" si="20"/>
        <v>5286</v>
      </c>
      <c r="D673">
        <v>1836</v>
      </c>
      <c r="E673">
        <v>6</v>
      </c>
      <c r="F673" t="s">
        <v>15</v>
      </c>
      <c r="G673" t="s">
        <v>84</v>
      </c>
      <c r="H673" t="s">
        <v>34</v>
      </c>
      <c r="I673" s="2">
        <v>45117</v>
      </c>
      <c r="J673" t="s">
        <v>781</v>
      </c>
      <c r="K673" t="s">
        <v>27</v>
      </c>
      <c r="L673" t="s">
        <v>53</v>
      </c>
      <c r="M673" t="s">
        <v>107</v>
      </c>
      <c r="N673" t="str">
        <f t="shared" si="21"/>
        <v>July</v>
      </c>
    </row>
    <row r="674" spans="1:14" x14ac:dyDescent="0.3">
      <c r="A674" t="s">
        <v>778</v>
      </c>
      <c r="B674" s="1">
        <v>7327</v>
      </c>
      <c r="C674" s="1">
        <f t="shared" si="20"/>
        <v>4731</v>
      </c>
      <c r="D674">
        <v>2596</v>
      </c>
      <c r="E674">
        <v>15</v>
      </c>
      <c r="F674" t="s">
        <v>32</v>
      </c>
      <c r="G674" t="s">
        <v>59</v>
      </c>
      <c r="H674" t="s">
        <v>49</v>
      </c>
      <c r="I674" s="2">
        <v>45407</v>
      </c>
      <c r="J674" t="s">
        <v>779</v>
      </c>
      <c r="K674" t="s">
        <v>73</v>
      </c>
      <c r="L674" t="s">
        <v>74</v>
      </c>
      <c r="M674" t="s">
        <v>237</v>
      </c>
      <c r="N674" t="str">
        <f t="shared" si="21"/>
        <v>April</v>
      </c>
    </row>
    <row r="675" spans="1:14" x14ac:dyDescent="0.3">
      <c r="A675" t="s">
        <v>778</v>
      </c>
      <c r="B675" s="1">
        <v>7327</v>
      </c>
      <c r="C675" s="1">
        <f t="shared" si="20"/>
        <v>4731</v>
      </c>
      <c r="D675">
        <v>2596</v>
      </c>
      <c r="E675">
        <v>15</v>
      </c>
      <c r="F675" t="s">
        <v>32</v>
      </c>
      <c r="G675" t="s">
        <v>59</v>
      </c>
      <c r="H675" t="s">
        <v>49</v>
      </c>
      <c r="I675" s="2">
        <v>44995</v>
      </c>
      <c r="J675" t="s">
        <v>780</v>
      </c>
      <c r="K675" t="s">
        <v>73</v>
      </c>
      <c r="L675" t="s">
        <v>140</v>
      </c>
      <c r="M675" t="s">
        <v>247</v>
      </c>
      <c r="N675" t="str">
        <f t="shared" si="21"/>
        <v>March</v>
      </c>
    </row>
    <row r="676" spans="1:14" x14ac:dyDescent="0.3">
      <c r="A676" t="s">
        <v>778</v>
      </c>
      <c r="B676" s="1">
        <v>7327</v>
      </c>
      <c r="C676" s="1">
        <f t="shared" si="20"/>
        <v>4731</v>
      </c>
      <c r="D676">
        <v>2596</v>
      </c>
      <c r="E676">
        <v>15</v>
      </c>
      <c r="F676" t="s">
        <v>32</v>
      </c>
      <c r="G676" t="s">
        <v>59</v>
      </c>
      <c r="H676" t="s">
        <v>49</v>
      </c>
      <c r="I676" s="2">
        <v>45117</v>
      </c>
      <c r="J676" t="s">
        <v>781</v>
      </c>
      <c r="K676" t="s">
        <v>27</v>
      </c>
      <c r="L676" t="s">
        <v>53</v>
      </c>
      <c r="M676" t="s">
        <v>107</v>
      </c>
      <c r="N676" t="str">
        <f t="shared" si="21"/>
        <v>July</v>
      </c>
    </row>
    <row r="677" spans="1:14" x14ac:dyDescent="0.3">
      <c r="A677" t="s">
        <v>782</v>
      </c>
      <c r="B677" s="1">
        <v>2239</v>
      </c>
      <c r="C677" s="1">
        <f t="shared" si="20"/>
        <v>1145</v>
      </c>
      <c r="D677">
        <v>1094</v>
      </c>
      <c r="E677">
        <v>18</v>
      </c>
      <c r="F677" t="s">
        <v>15</v>
      </c>
      <c r="G677" t="s">
        <v>30</v>
      </c>
      <c r="H677" t="s">
        <v>67</v>
      </c>
      <c r="I677" s="2">
        <v>45501</v>
      </c>
      <c r="J677" t="s">
        <v>783</v>
      </c>
      <c r="K677" t="s">
        <v>19</v>
      </c>
      <c r="L677" t="s">
        <v>152</v>
      </c>
      <c r="M677" t="s">
        <v>217</v>
      </c>
      <c r="N677" t="str">
        <f t="shared" si="21"/>
        <v>July</v>
      </c>
    </row>
    <row r="678" spans="1:14" x14ac:dyDescent="0.3">
      <c r="A678" t="s">
        <v>782</v>
      </c>
      <c r="B678" s="1">
        <v>4932</v>
      </c>
      <c r="C678" s="1">
        <f t="shared" si="20"/>
        <v>3779</v>
      </c>
      <c r="D678">
        <v>1153</v>
      </c>
      <c r="E678">
        <v>1</v>
      </c>
      <c r="F678" t="s">
        <v>32</v>
      </c>
      <c r="G678" t="s">
        <v>59</v>
      </c>
      <c r="H678" t="s">
        <v>67</v>
      </c>
      <c r="I678" s="2">
        <v>45501</v>
      </c>
      <c r="J678" t="s">
        <v>783</v>
      </c>
      <c r="K678" t="s">
        <v>19</v>
      </c>
      <c r="L678" t="s">
        <v>152</v>
      </c>
      <c r="M678" t="s">
        <v>217</v>
      </c>
      <c r="N678" t="str">
        <f t="shared" si="21"/>
        <v>July</v>
      </c>
    </row>
    <row r="679" spans="1:14" x14ac:dyDescent="0.3">
      <c r="A679" t="s">
        <v>784</v>
      </c>
      <c r="B679" s="1">
        <v>4609</v>
      </c>
      <c r="C679" s="1">
        <f t="shared" si="20"/>
        <v>3525</v>
      </c>
      <c r="D679">
        <v>1084</v>
      </c>
      <c r="E679">
        <v>8</v>
      </c>
      <c r="F679" t="s">
        <v>15</v>
      </c>
      <c r="G679" t="s">
        <v>30</v>
      </c>
      <c r="H679" t="s">
        <v>17</v>
      </c>
      <c r="I679" s="2">
        <v>45137</v>
      </c>
      <c r="J679" t="s">
        <v>785</v>
      </c>
      <c r="K679" t="s">
        <v>19</v>
      </c>
      <c r="L679" t="s">
        <v>36</v>
      </c>
      <c r="M679" t="s">
        <v>107</v>
      </c>
      <c r="N679" t="str">
        <f t="shared" si="21"/>
        <v>July</v>
      </c>
    </row>
    <row r="680" spans="1:14" x14ac:dyDescent="0.3">
      <c r="A680" t="s">
        <v>784</v>
      </c>
      <c r="B680" s="1">
        <v>2328</v>
      </c>
      <c r="C680" s="1">
        <f t="shared" si="20"/>
        <v>1540</v>
      </c>
      <c r="D680">
        <v>788</v>
      </c>
      <c r="E680">
        <v>4</v>
      </c>
      <c r="F680" t="s">
        <v>32</v>
      </c>
      <c r="G680" t="s">
        <v>66</v>
      </c>
      <c r="H680" t="s">
        <v>17</v>
      </c>
      <c r="I680" s="2">
        <v>45137</v>
      </c>
      <c r="J680" t="s">
        <v>785</v>
      </c>
      <c r="K680" t="s">
        <v>19</v>
      </c>
      <c r="L680" t="s">
        <v>36</v>
      </c>
      <c r="M680" t="s">
        <v>107</v>
      </c>
      <c r="N680" t="str">
        <f t="shared" si="21"/>
        <v>July</v>
      </c>
    </row>
    <row r="681" spans="1:14" x14ac:dyDescent="0.3">
      <c r="A681" t="s">
        <v>784</v>
      </c>
      <c r="B681" s="1">
        <v>4734</v>
      </c>
      <c r="C681" s="1">
        <f t="shared" si="20"/>
        <v>3776</v>
      </c>
      <c r="D681">
        <v>958</v>
      </c>
      <c r="E681">
        <v>7</v>
      </c>
      <c r="F681" t="s">
        <v>15</v>
      </c>
      <c r="G681" t="s">
        <v>30</v>
      </c>
      <c r="H681" t="s">
        <v>34</v>
      </c>
      <c r="I681" s="2">
        <v>45137</v>
      </c>
      <c r="J681" t="s">
        <v>785</v>
      </c>
      <c r="K681" t="s">
        <v>19</v>
      </c>
      <c r="L681" t="s">
        <v>36</v>
      </c>
      <c r="M681" t="s">
        <v>107</v>
      </c>
      <c r="N681" t="str">
        <f t="shared" si="21"/>
        <v>July</v>
      </c>
    </row>
    <row r="682" spans="1:14" x14ac:dyDescent="0.3">
      <c r="A682" t="s">
        <v>786</v>
      </c>
      <c r="B682" s="1">
        <v>1388</v>
      </c>
      <c r="C682" s="1">
        <f t="shared" si="20"/>
        <v>1043</v>
      </c>
      <c r="D682">
        <v>345</v>
      </c>
      <c r="E682">
        <v>5</v>
      </c>
      <c r="F682" t="s">
        <v>47</v>
      </c>
      <c r="G682" t="s">
        <v>62</v>
      </c>
      <c r="H682" t="s">
        <v>17</v>
      </c>
      <c r="I682" s="2">
        <v>45570</v>
      </c>
      <c r="J682" t="s">
        <v>787</v>
      </c>
      <c r="K682" t="s">
        <v>27</v>
      </c>
      <c r="L682" t="s">
        <v>53</v>
      </c>
      <c r="M682" t="s">
        <v>362</v>
      </c>
      <c r="N682" t="str">
        <f t="shared" si="21"/>
        <v>October</v>
      </c>
    </row>
    <row r="683" spans="1:14" x14ac:dyDescent="0.3">
      <c r="A683" t="s">
        <v>786</v>
      </c>
      <c r="B683" s="1">
        <v>8555</v>
      </c>
      <c r="C683" s="1">
        <f t="shared" si="20"/>
        <v>6917</v>
      </c>
      <c r="D683">
        <v>1638</v>
      </c>
      <c r="E683">
        <v>8</v>
      </c>
      <c r="F683" t="s">
        <v>15</v>
      </c>
      <c r="G683" t="s">
        <v>41</v>
      </c>
      <c r="H683" t="s">
        <v>49</v>
      </c>
      <c r="I683" s="2">
        <v>45570</v>
      </c>
      <c r="J683" t="s">
        <v>787</v>
      </c>
      <c r="K683" t="s">
        <v>27</v>
      </c>
      <c r="L683" t="s">
        <v>53</v>
      </c>
      <c r="M683" t="s">
        <v>362</v>
      </c>
      <c r="N683" t="str">
        <f t="shared" si="21"/>
        <v>October</v>
      </c>
    </row>
    <row r="684" spans="1:14" x14ac:dyDescent="0.3">
      <c r="A684" t="s">
        <v>788</v>
      </c>
      <c r="B684" s="1">
        <v>9024</v>
      </c>
      <c r="C684" s="1">
        <f t="shared" si="20"/>
        <v>8294</v>
      </c>
      <c r="D684">
        <v>730</v>
      </c>
      <c r="E684">
        <v>4</v>
      </c>
      <c r="F684" t="s">
        <v>47</v>
      </c>
      <c r="G684" t="s">
        <v>48</v>
      </c>
      <c r="H684" t="s">
        <v>49</v>
      </c>
      <c r="I684" s="2">
        <v>45342</v>
      </c>
      <c r="J684" t="s">
        <v>789</v>
      </c>
      <c r="K684" t="s">
        <v>73</v>
      </c>
      <c r="L684" t="s">
        <v>74</v>
      </c>
      <c r="M684" t="s">
        <v>220</v>
      </c>
      <c r="N684" t="str">
        <f t="shared" si="21"/>
        <v>February</v>
      </c>
    </row>
    <row r="685" spans="1:14" x14ac:dyDescent="0.3">
      <c r="A685" t="s">
        <v>788</v>
      </c>
      <c r="B685" s="1">
        <v>2468</v>
      </c>
      <c r="C685" s="1">
        <f t="shared" si="20"/>
        <v>2050</v>
      </c>
      <c r="D685">
        <v>418</v>
      </c>
      <c r="E685">
        <v>4</v>
      </c>
      <c r="F685" t="s">
        <v>15</v>
      </c>
      <c r="G685" t="s">
        <v>41</v>
      </c>
      <c r="H685" t="s">
        <v>49</v>
      </c>
      <c r="I685" s="2">
        <v>45342</v>
      </c>
      <c r="J685" t="s">
        <v>789</v>
      </c>
      <c r="K685" t="s">
        <v>73</v>
      </c>
      <c r="L685" t="s">
        <v>74</v>
      </c>
      <c r="M685" t="s">
        <v>220</v>
      </c>
      <c r="N685" t="str">
        <f t="shared" si="21"/>
        <v>February</v>
      </c>
    </row>
    <row r="686" spans="1:14" x14ac:dyDescent="0.3">
      <c r="A686" t="s">
        <v>790</v>
      </c>
      <c r="B686" s="1">
        <v>9438</v>
      </c>
      <c r="C686" s="1">
        <f t="shared" si="20"/>
        <v>7637</v>
      </c>
      <c r="D686">
        <v>1801</v>
      </c>
      <c r="E686">
        <v>4</v>
      </c>
      <c r="F686" t="s">
        <v>15</v>
      </c>
      <c r="G686" t="s">
        <v>16</v>
      </c>
      <c r="H686" t="s">
        <v>67</v>
      </c>
      <c r="I686" s="2">
        <v>45035</v>
      </c>
      <c r="J686" t="s">
        <v>791</v>
      </c>
      <c r="K686" t="s">
        <v>19</v>
      </c>
      <c r="L686" t="s">
        <v>36</v>
      </c>
      <c r="M686" t="s">
        <v>147</v>
      </c>
      <c r="N686" t="str">
        <f t="shared" si="21"/>
        <v>April</v>
      </c>
    </row>
    <row r="687" spans="1:14" x14ac:dyDescent="0.3">
      <c r="A687" t="s">
        <v>790</v>
      </c>
      <c r="B687" s="1">
        <v>9438</v>
      </c>
      <c r="C687" s="1">
        <f t="shared" si="20"/>
        <v>7637</v>
      </c>
      <c r="D687">
        <v>1801</v>
      </c>
      <c r="E687">
        <v>4</v>
      </c>
      <c r="F687" t="s">
        <v>15</v>
      </c>
      <c r="G687" t="s">
        <v>16</v>
      </c>
      <c r="H687" t="s">
        <v>67</v>
      </c>
      <c r="I687" s="2">
        <v>45228</v>
      </c>
      <c r="J687" t="s">
        <v>792</v>
      </c>
      <c r="K687" t="s">
        <v>73</v>
      </c>
      <c r="L687" t="s">
        <v>88</v>
      </c>
      <c r="M687" t="s">
        <v>444</v>
      </c>
      <c r="N687" t="str">
        <f t="shared" si="21"/>
        <v>October</v>
      </c>
    </row>
    <row r="688" spans="1:14" x14ac:dyDescent="0.3">
      <c r="A688" t="s">
        <v>793</v>
      </c>
      <c r="B688" s="1">
        <v>2685</v>
      </c>
      <c r="C688" s="1">
        <f t="shared" si="20"/>
        <v>2306</v>
      </c>
      <c r="D688">
        <v>379</v>
      </c>
      <c r="E688">
        <v>18</v>
      </c>
      <c r="F688" t="s">
        <v>15</v>
      </c>
      <c r="G688" t="s">
        <v>84</v>
      </c>
      <c r="H688" t="s">
        <v>17</v>
      </c>
      <c r="I688" s="2">
        <v>44628</v>
      </c>
      <c r="J688" t="s">
        <v>794</v>
      </c>
      <c r="K688" t="s">
        <v>100</v>
      </c>
      <c r="L688" t="s">
        <v>119</v>
      </c>
      <c r="M688" t="s">
        <v>136</v>
      </c>
      <c r="N688" t="str">
        <f t="shared" si="21"/>
        <v>March</v>
      </c>
    </row>
    <row r="689" spans="1:14" x14ac:dyDescent="0.3">
      <c r="A689" t="s">
        <v>793</v>
      </c>
      <c r="B689" s="1">
        <v>2685</v>
      </c>
      <c r="C689" s="1">
        <f t="shared" si="20"/>
        <v>2306</v>
      </c>
      <c r="D689">
        <v>379</v>
      </c>
      <c r="E689">
        <v>18</v>
      </c>
      <c r="F689" t="s">
        <v>15</v>
      </c>
      <c r="G689" t="s">
        <v>84</v>
      </c>
      <c r="H689" t="s">
        <v>17</v>
      </c>
      <c r="I689" s="2">
        <v>44903</v>
      </c>
      <c r="J689" t="s">
        <v>795</v>
      </c>
      <c r="K689" t="s">
        <v>19</v>
      </c>
      <c r="L689" t="s">
        <v>152</v>
      </c>
      <c r="M689" t="s">
        <v>154</v>
      </c>
      <c r="N689" t="str">
        <f t="shared" si="21"/>
        <v>December</v>
      </c>
    </row>
    <row r="690" spans="1:14" x14ac:dyDescent="0.3">
      <c r="A690" t="s">
        <v>793</v>
      </c>
      <c r="B690" s="1">
        <v>9916</v>
      </c>
      <c r="C690" s="1">
        <f t="shared" si="20"/>
        <v>5314</v>
      </c>
      <c r="D690">
        <v>4602</v>
      </c>
      <c r="E690">
        <v>14</v>
      </c>
      <c r="F690" t="s">
        <v>47</v>
      </c>
      <c r="G690" t="s">
        <v>51</v>
      </c>
      <c r="H690" t="s">
        <v>17</v>
      </c>
      <c r="I690" s="2">
        <v>44628</v>
      </c>
      <c r="J690" t="s">
        <v>794</v>
      </c>
      <c r="K690" t="s">
        <v>100</v>
      </c>
      <c r="L690" t="s">
        <v>119</v>
      </c>
      <c r="M690" t="s">
        <v>136</v>
      </c>
      <c r="N690" t="str">
        <f t="shared" si="21"/>
        <v>March</v>
      </c>
    </row>
    <row r="691" spans="1:14" x14ac:dyDescent="0.3">
      <c r="A691" t="s">
        <v>793</v>
      </c>
      <c r="B691" s="1">
        <v>9916</v>
      </c>
      <c r="C691" s="1">
        <f t="shared" si="20"/>
        <v>5314</v>
      </c>
      <c r="D691">
        <v>4602</v>
      </c>
      <c r="E691">
        <v>14</v>
      </c>
      <c r="F691" t="s">
        <v>47</v>
      </c>
      <c r="G691" t="s">
        <v>51</v>
      </c>
      <c r="H691" t="s">
        <v>17</v>
      </c>
      <c r="I691" s="2">
        <v>44903</v>
      </c>
      <c r="J691" t="s">
        <v>795</v>
      </c>
      <c r="K691" t="s">
        <v>19</v>
      </c>
      <c r="L691" t="s">
        <v>152</v>
      </c>
      <c r="M691" t="s">
        <v>154</v>
      </c>
      <c r="N691" t="str">
        <f t="shared" si="21"/>
        <v>December</v>
      </c>
    </row>
    <row r="692" spans="1:14" x14ac:dyDescent="0.3">
      <c r="A692" t="s">
        <v>793</v>
      </c>
      <c r="B692" s="1">
        <v>6184</v>
      </c>
      <c r="C692" s="1">
        <f t="shared" si="20"/>
        <v>6134</v>
      </c>
      <c r="D692">
        <v>50</v>
      </c>
      <c r="E692">
        <v>14</v>
      </c>
      <c r="F692" t="s">
        <v>15</v>
      </c>
      <c r="G692" t="s">
        <v>16</v>
      </c>
      <c r="H692" t="s">
        <v>49</v>
      </c>
      <c r="I692" s="2">
        <v>44628</v>
      </c>
      <c r="J692" t="s">
        <v>794</v>
      </c>
      <c r="K692" t="s">
        <v>100</v>
      </c>
      <c r="L692" t="s">
        <v>119</v>
      </c>
      <c r="M692" t="s">
        <v>136</v>
      </c>
      <c r="N692" t="str">
        <f t="shared" si="21"/>
        <v>March</v>
      </c>
    </row>
    <row r="693" spans="1:14" x14ac:dyDescent="0.3">
      <c r="A693" t="s">
        <v>793</v>
      </c>
      <c r="B693" s="1">
        <v>6184</v>
      </c>
      <c r="C693" s="1">
        <f t="shared" si="20"/>
        <v>6134</v>
      </c>
      <c r="D693">
        <v>50</v>
      </c>
      <c r="E693">
        <v>14</v>
      </c>
      <c r="F693" t="s">
        <v>15</v>
      </c>
      <c r="G693" t="s">
        <v>16</v>
      </c>
      <c r="H693" t="s">
        <v>49</v>
      </c>
      <c r="I693" s="2">
        <v>44903</v>
      </c>
      <c r="J693" t="s">
        <v>795</v>
      </c>
      <c r="K693" t="s">
        <v>19</v>
      </c>
      <c r="L693" t="s">
        <v>152</v>
      </c>
      <c r="M693" t="s">
        <v>154</v>
      </c>
      <c r="N693" t="str">
        <f t="shared" si="21"/>
        <v>December</v>
      </c>
    </row>
    <row r="694" spans="1:14" x14ac:dyDescent="0.3">
      <c r="A694" t="s">
        <v>793</v>
      </c>
      <c r="B694" s="1">
        <v>4548</v>
      </c>
      <c r="C694" s="1">
        <f t="shared" si="20"/>
        <v>2413</v>
      </c>
      <c r="D694">
        <v>2135</v>
      </c>
      <c r="E694">
        <v>8</v>
      </c>
      <c r="F694" t="s">
        <v>32</v>
      </c>
      <c r="G694" t="s">
        <v>59</v>
      </c>
      <c r="H694" t="s">
        <v>34</v>
      </c>
      <c r="I694" s="2">
        <v>44628</v>
      </c>
      <c r="J694" t="s">
        <v>794</v>
      </c>
      <c r="K694" t="s">
        <v>100</v>
      </c>
      <c r="L694" t="s">
        <v>119</v>
      </c>
      <c r="M694" t="s">
        <v>136</v>
      </c>
      <c r="N694" t="str">
        <f t="shared" si="21"/>
        <v>March</v>
      </c>
    </row>
    <row r="695" spans="1:14" x14ac:dyDescent="0.3">
      <c r="A695" t="s">
        <v>793</v>
      </c>
      <c r="B695" s="1">
        <v>4548</v>
      </c>
      <c r="C695" s="1">
        <f t="shared" si="20"/>
        <v>2413</v>
      </c>
      <c r="D695">
        <v>2135</v>
      </c>
      <c r="E695">
        <v>8</v>
      </c>
      <c r="F695" t="s">
        <v>32</v>
      </c>
      <c r="G695" t="s">
        <v>59</v>
      </c>
      <c r="H695" t="s">
        <v>34</v>
      </c>
      <c r="I695" s="2">
        <v>44903</v>
      </c>
      <c r="J695" t="s">
        <v>795</v>
      </c>
      <c r="K695" t="s">
        <v>19</v>
      </c>
      <c r="L695" t="s">
        <v>152</v>
      </c>
      <c r="M695" t="s">
        <v>154</v>
      </c>
      <c r="N695" t="str">
        <f t="shared" si="21"/>
        <v>December</v>
      </c>
    </row>
    <row r="696" spans="1:14" x14ac:dyDescent="0.3">
      <c r="A696" t="s">
        <v>796</v>
      </c>
      <c r="B696" s="1">
        <v>7195</v>
      </c>
      <c r="C696" s="1">
        <f t="shared" si="20"/>
        <v>5530</v>
      </c>
      <c r="D696">
        <v>1665</v>
      </c>
      <c r="E696">
        <v>7</v>
      </c>
      <c r="F696" t="s">
        <v>32</v>
      </c>
      <c r="G696" t="s">
        <v>59</v>
      </c>
      <c r="H696" t="s">
        <v>67</v>
      </c>
      <c r="I696" s="2">
        <v>45500</v>
      </c>
      <c r="J696" t="s">
        <v>797</v>
      </c>
      <c r="K696" t="s">
        <v>27</v>
      </c>
      <c r="L696" t="s">
        <v>70</v>
      </c>
      <c r="M696" t="s">
        <v>217</v>
      </c>
      <c r="N696" t="str">
        <f t="shared" si="21"/>
        <v>July</v>
      </c>
    </row>
    <row r="697" spans="1:14" x14ac:dyDescent="0.3">
      <c r="A697" t="s">
        <v>796</v>
      </c>
      <c r="B697" s="1">
        <v>7195</v>
      </c>
      <c r="C697" s="1">
        <f t="shared" si="20"/>
        <v>5530</v>
      </c>
      <c r="D697">
        <v>1665</v>
      </c>
      <c r="E697">
        <v>7</v>
      </c>
      <c r="F697" t="s">
        <v>32</v>
      </c>
      <c r="G697" t="s">
        <v>59</v>
      </c>
      <c r="H697" t="s">
        <v>67</v>
      </c>
      <c r="I697" s="2">
        <v>44747</v>
      </c>
      <c r="J697" t="s">
        <v>798</v>
      </c>
      <c r="K697" t="s">
        <v>27</v>
      </c>
      <c r="L697" t="s">
        <v>28</v>
      </c>
      <c r="M697" t="s">
        <v>420</v>
      </c>
      <c r="N697" t="str">
        <f t="shared" si="21"/>
        <v>July</v>
      </c>
    </row>
    <row r="698" spans="1:14" x14ac:dyDescent="0.3">
      <c r="A698" t="s">
        <v>799</v>
      </c>
      <c r="B698" s="1">
        <v>3098</v>
      </c>
      <c r="C698" s="1">
        <f t="shared" si="20"/>
        <v>2141</v>
      </c>
      <c r="D698">
        <v>957</v>
      </c>
      <c r="E698">
        <v>18</v>
      </c>
      <c r="F698" t="s">
        <v>47</v>
      </c>
      <c r="G698" t="s">
        <v>111</v>
      </c>
      <c r="H698" t="s">
        <v>67</v>
      </c>
      <c r="I698" s="2">
        <v>45477</v>
      </c>
      <c r="J698" t="s">
        <v>800</v>
      </c>
      <c r="K698" t="s">
        <v>73</v>
      </c>
      <c r="L698" t="s">
        <v>88</v>
      </c>
      <c r="M698" t="s">
        <v>217</v>
      </c>
      <c r="N698" t="str">
        <f t="shared" si="21"/>
        <v>July</v>
      </c>
    </row>
    <row r="699" spans="1:14" x14ac:dyDescent="0.3">
      <c r="A699" t="s">
        <v>801</v>
      </c>
      <c r="B699" s="1">
        <v>5412</v>
      </c>
      <c r="C699" s="1">
        <f t="shared" si="20"/>
        <v>4220</v>
      </c>
      <c r="D699">
        <v>1192</v>
      </c>
      <c r="E699">
        <v>18</v>
      </c>
      <c r="F699" t="s">
        <v>47</v>
      </c>
      <c r="G699" t="s">
        <v>48</v>
      </c>
      <c r="H699" t="s">
        <v>49</v>
      </c>
      <c r="I699" s="2">
        <v>45350</v>
      </c>
      <c r="J699" t="s">
        <v>802</v>
      </c>
      <c r="K699" t="s">
        <v>44</v>
      </c>
      <c r="L699" t="s">
        <v>77</v>
      </c>
      <c r="M699" t="s">
        <v>220</v>
      </c>
      <c r="N699" t="str">
        <f t="shared" si="21"/>
        <v>February</v>
      </c>
    </row>
    <row r="700" spans="1:14" x14ac:dyDescent="0.3">
      <c r="A700" t="s">
        <v>801</v>
      </c>
      <c r="B700" s="1">
        <v>5412</v>
      </c>
      <c r="C700" s="1">
        <f t="shared" si="20"/>
        <v>4220</v>
      </c>
      <c r="D700">
        <v>1192</v>
      </c>
      <c r="E700">
        <v>18</v>
      </c>
      <c r="F700" t="s">
        <v>47</v>
      </c>
      <c r="G700" t="s">
        <v>48</v>
      </c>
      <c r="H700" t="s">
        <v>49</v>
      </c>
      <c r="I700" s="2">
        <v>45660</v>
      </c>
      <c r="J700" t="s">
        <v>803</v>
      </c>
      <c r="K700" t="s">
        <v>44</v>
      </c>
      <c r="L700" t="s">
        <v>45</v>
      </c>
      <c r="M700" t="s">
        <v>310</v>
      </c>
      <c r="N700" t="str">
        <f t="shared" si="21"/>
        <v>January</v>
      </c>
    </row>
    <row r="701" spans="1:14" x14ac:dyDescent="0.3">
      <c r="A701" t="s">
        <v>804</v>
      </c>
      <c r="B701" s="1">
        <v>1397</v>
      </c>
      <c r="C701" s="1">
        <f t="shared" si="20"/>
        <v>711</v>
      </c>
      <c r="D701">
        <v>686</v>
      </c>
      <c r="E701">
        <v>11</v>
      </c>
      <c r="F701" t="s">
        <v>47</v>
      </c>
      <c r="G701" t="s">
        <v>51</v>
      </c>
      <c r="H701" t="s">
        <v>49</v>
      </c>
      <c r="I701" s="2">
        <v>44537</v>
      </c>
      <c r="J701" t="s">
        <v>805</v>
      </c>
      <c r="K701" t="s">
        <v>27</v>
      </c>
      <c r="L701" t="s">
        <v>53</v>
      </c>
      <c r="M701" t="s">
        <v>92</v>
      </c>
      <c r="N701" t="str">
        <f t="shared" si="21"/>
        <v>December</v>
      </c>
    </row>
    <row r="702" spans="1:14" x14ac:dyDescent="0.3">
      <c r="A702" t="s">
        <v>806</v>
      </c>
      <c r="B702" s="1">
        <v>9279</v>
      </c>
      <c r="C702" s="1">
        <f t="shared" si="20"/>
        <v>8727</v>
      </c>
      <c r="D702">
        <v>552</v>
      </c>
      <c r="E702">
        <v>14</v>
      </c>
      <c r="F702" t="s">
        <v>47</v>
      </c>
      <c r="G702" t="s">
        <v>51</v>
      </c>
      <c r="H702" t="s">
        <v>42</v>
      </c>
      <c r="I702" s="2">
        <v>44544</v>
      </c>
      <c r="J702" t="s">
        <v>807</v>
      </c>
      <c r="K702" t="s">
        <v>27</v>
      </c>
      <c r="L702" t="s">
        <v>28</v>
      </c>
      <c r="M702" t="s">
        <v>92</v>
      </c>
      <c r="N702" t="str">
        <f t="shared" si="21"/>
        <v>December</v>
      </c>
    </row>
    <row r="703" spans="1:14" x14ac:dyDescent="0.3">
      <c r="A703" t="s">
        <v>806</v>
      </c>
      <c r="B703" s="1">
        <v>9279</v>
      </c>
      <c r="C703" s="1">
        <f t="shared" si="20"/>
        <v>8727</v>
      </c>
      <c r="D703">
        <v>552</v>
      </c>
      <c r="E703">
        <v>14</v>
      </c>
      <c r="F703" t="s">
        <v>47</v>
      </c>
      <c r="G703" t="s">
        <v>51</v>
      </c>
      <c r="H703" t="s">
        <v>42</v>
      </c>
      <c r="I703" s="2">
        <v>44165</v>
      </c>
      <c r="J703" t="s">
        <v>808</v>
      </c>
      <c r="K703" t="s">
        <v>44</v>
      </c>
      <c r="L703" t="s">
        <v>94</v>
      </c>
      <c r="M703" t="s">
        <v>82</v>
      </c>
      <c r="N703" t="str">
        <f t="shared" si="21"/>
        <v>November</v>
      </c>
    </row>
    <row r="704" spans="1:14" x14ac:dyDescent="0.3">
      <c r="A704" t="s">
        <v>806</v>
      </c>
      <c r="B704" s="1">
        <v>2596</v>
      </c>
      <c r="C704" s="1">
        <f t="shared" si="20"/>
        <v>1593</v>
      </c>
      <c r="D704">
        <v>1003</v>
      </c>
      <c r="E704">
        <v>19</v>
      </c>
      <c r="F704" t="s">
        <v>32</v>
      </c>
      <c r="G704" t="s">
        <v>66</v>
      </c>
      <c r="H704" t="s">
        <v>49</v>
      </c>
      <c r="I704" s="2">
        <v>44544</v>
      </c>
      <c r="J704" t="s">
        <v>807</v>
      </c>
      <c r="K704" t="s">
        <v>27</v>
      </c>
      <c r="L704" t="s">
        <v>28</v>
      </c>
      <c r="M704" t="s">
        <v>92</v>
      </c>
      <c r="N704" t="str">
        <f t="shared" si="21"/>
        <v>December</v>
      </c>
    </row>
    <row r="705" spans="1:14" x14ac:dyDescent="0.3">
      <c r="A705" t="s">
        <v>806</v>
      </c>
      <c r="B705" s="1">
        <v>2596</v>
      </c>
      <c r="C705" s="1">
        <f t="shared" si="20"/>
        <v>1593</v>
      </c>
      <c r="D705">
        <v>1003</v>
      </c>
      <c r="E705">
        <v>19</v>
      </c>
      <c r="F705" t="s">
        <v>32</v>
      </c>
      <c r="G705" t="s">
        <v>66</v>
      </c>
      <c r="H705" t="s">
        <v>49</v>
      </c>
      <c r="I705" s="2">
        <v>44165</v>
      </c>
      <c r="J705" t="s">
        <v>808</v>
      </c>
      <c r="K705" t="s">
        <v>44</v>
      </c>
      <c r="L705" t="s">
        <v>94</v>
      </c>
      <c r="M705" t="s">
        <v>82</v>
      </c>
      <c r="N705" t="str">
        <f t="shared" si="21"/>
        <v>November</v>
      </c>
    </row>
    <row r="706" spans="1:14" x14ac:dyDescent="0.3">
      <c r="A706" t="s">
        <v>809</v>
      </c>
      <c r="B706" s="1">
        <v>6732</v>
      </c>
      <c r="C706" s="1">
        <f t="shared" ref="C706:C769" si="22">B706-D706</f>
        <v>5821</v>
      </c>
      <c r="D706">
        <v>911</v>
      </c>
      <c r="E706">
        <v>19</v>
      </c>
      <c r="F706" t="s">
        <v>47</v>
      </c>
      <c r="G706" t="s">
        <v>111</v>
      </c>
      <c r="H706" t="s">
        <v>42</v>
      </c>
      <c r="I706" s="2">
        <v>44559</v>
      </c>
      <c r="J706" t="s">
        <v>810</v>
      </c>
      <c r="K706" t="s">
        <v>27</v>
      </c>
      <c r="L706" t="s">
        <v>28</v>
      </c>
      <c r="M706" t="s">
        <v>92</v>
      </c>
      <c r="N706" t="str">
        <f t="shared" si="21"/>
        <v>December</v>
      </c>
    </row>
    <row r="707" spans="1:14" x14ac:dyDescent="0.3">
      <c r="A707" t="s">
        <v>809</v>
      </c>
      <c r="B707" s="1">
        <v>4495</v>
      </c>
      <c r="C707" s="1">
        <f t="shared" si="22"/>
        <v>3087</v>
      </c>
      <c r="D707">
        <v>1408</v>
      </c>
      <c r="E707">
        <v>14</v>
      </c>
      <c r="F707" t="s">
        <v>32</v>
      </c>
      <c r="G707" t="s">
        <v>33</v>
      </c>
      <c r="H707" t="s">
        <v>42</v>
      </c>
      <c r="I707" s="2">
        <v>44559</v>
      </c>
      <c r="J707" t="s">
        <v>810</v>
      </c>
      <c r="K707" t="s">
        <v>27</v>
      </c>
      <c r="L707" t="s">
        <v>28</v>
      </c>
      <c r="M707" t="s">
        <v>92</v>
      </c>
      <c r="N707" t="str">
        <f t="shared" ref="N707:N770" si="23">TEXT(DATE(LEFT(M707,4),RIGHT(M707,2),1),"mmmm")</f>
        <v>December</v>
      </c>
    </row>
    <row r="708" spans="1:14" x14ac:dyDescent="0.3">
      <c r="A708" t="s">
        <v>811</v>
      </c>
      <c r="B708" s="1">
        <v>9653</v>
      </c>
      <c r="C708" s="1">
        <f t="shared" si="22"/>
        <v>7182</v>
      </c>
      <c r="D708">
        <v>2471</v>
      </c>
      <c r="E708">
        <v>6</v>
      </c>
      <c r="F708" t="s">
        <v>32</v>
      </c>
      <c r="G708" t="s">
        <v>66</v>
      </c>
      <c r="H708" t="s">
        <v>17</v>
      </c>
      <c r="I708" s="2">
        <v>45481</v>
      </c>
      <c r="J708" t="s">
        <v>812</v>
      </c>
      <c r="K708" t="s">
        <v>27</v>
      </c>
      <c r="L708" t="s">
        <v>28</v>
      </c>
      <c r="M708" t="s">
        <v>217</v>
      </c>
      <c r="N708" t="str">
        <f t="shared" si="23"/>
        <v>July</v>
      </c>
    </row>
    <row r="709" spans="1:14" x14ac:dyDescent="0.3">
      <c r="A709" t="s">
        <v>813</v>
      </c>
      <c r="B709" s="1">
        <v>8945</v>
      </c>
      <c r="C709" s="1">
        <f t="shared" si="22"/>
        <v>7217</v>
      </c>
      <c r="D709">
        <v>1728</v>
      </c>
      <c r="E709">
        <v>10</v>
      </c>
      <c r="F709" t="s">
        <v>47</v>
      </c>
      <c r="G709" t="s">
        <v>48</v>
      </c>
      <c r="H709" t="s">
        <v>17</v>
      </c>
      <c r="I709" s="2">
        <v>44237</v>
      </c>
      <c r="J709" t="s">
        <v>814</v>
      </c>
      <c r="K709" t="s">
        <v>23</v>
      </c>
      <c r="L709" t="s">
        <v>174</v>
      </c>
      <c r="M709" t="s">
        <v>294</v>
      </c>
      <c r="N709" t="str">
        <f t="shared" si="23"/>
        <v>February</v>
      </c>
    </row>
    <row r="710" spans="1:14" x14ac:dyDescent="0.3">
      <c r="A710" t="s">
        <v>815</v>
      </c>
      <c r="B710" s="1">
        <v>4007</v>
      </c>
      <c r="C710" s="1">
        <f t="shared" si="22"/>
        <v>3806</v>
      </c>
      <c r="D710">
        <v>201</v>
      </c>
      <c r="E710">
        <v>13</v>
      </c>
      <c r="F710" t="s">
        <v>47</v>
      </c>
      <c r="G710" t="s">
        <v>111</v>
      </c>
      <c r="H710" t="s">
        <v>67</v>
      </c>
      <c r="I710" s="2">
        <v>44125</v>
      </c>
      <c r="J710" t="s">
        <v>816</v>
      </c>
      <c r="K710" t="s">
        <v>100</v>
      </c>
      <c r="L710" t="s">
        <v>101</v>
      </c>
      <c r="M710" t="s">
        <v>121</v>
      </c>
      <c r="N710" t="str">
        <f t="shared" si="23"/>
        <v>October</v>
      </c>
    </row>
    <row r="711" spans="1:14" x14ac:dyDescent="0.3">
      <c r="A711" t="s">
        <v>815</v>
      </c>
      <c r="B711" s="1">
        <v>4007</v>
      </c>
      <c r="C711" s="1">
        <f t="shared" si="22"/>
        <v>3806</v>
      </c>
      <c r="D711">
        <v>201</v>
      </c>
      <c r="E711">
        <v>13</v>
      </c>
      <c r="F711" t="s">
        <v>47</v>
      </c>
      <c r="G711" t="s">
        <v>111</v>
      </c>
      <c r="H711" t="s">
        <v>67</v>
      </c>
      <c r="I711" s="2">
        <v>45033</v>
      </c>
      <c r="J711" t="s">
        <v>817</v>
      </c>
      <c r="K711" t="s">
        <v>73</v>
      </c>
      <c r="L711" t="s">
        <v>74</v>
      </c>
      <c r="M711" t="s">
        <v>147</v>
      </c>
      <c r="N711" t="str">
        <f t="shared" si="23"/>
        <v>April</v>
      </c>
    </row>
    <row r="712" spans="1:14" x14ac:dyDescent="0.3">
      <c r="A712" t="s">
        <v>818</v>
      </c>
      <c r="B712" s="1">
        <v>810</v>
      </c>
      <c r="C712" s="1">
        <f t="shared" si="22"/>
        <v>579</v>
      </c>
      <c r="D712">
        <v>231</v>
      </c>
      <c r="E712">
        <v>18</v>
      </c>
      <c r="F712" t="s">
        <v>47</v>
      </c>
      <c r="G712" t="s">
        <v>111</v>
      </c>
      <c r="H712" t="s">
        <v>42</v>
      </c>
      <c r="I712" s="2">
        <v>44125</v>
      </c>
      <c r="J712" t="s">
        <v>819</v>
      </c>
      <c r="K712" t="s">
        <v>19</v>
      </c>
      <c r="L712" t="s">
        <v>152</v>
      </c>
      <c r="M712" t="s">
        <v>121</v>
      </c>
      <c r="N712" t="str">
        <f t="shared" si="23"/>
        <v>October</v>
      </c>
    </row>
    <row r="713" spans="1:14" x14ac:dyDescent="0.3">
      <c r="A713" t="s">
        <v>820</v>
      </c>
      <c r="B713" s="1">
        <v>9789</v>
      </c>
      <c r="C713" s="1">
        <f t="shared" si="22"/>
        <v>7718</v>
      </c>
      <c r="D713">
        <v>2071</v>
      </c>
      <c r="E713">
        <v>18</v>
      </c>
      <c r="F713" t="s">
        <v>47</v>
      </c>
      <c r="G713" t="s">
        <v>111</v>
      </c>
      <c r="H713" t="s">
        <v>34</v>
      </c>
      <c r="I713" s="2">
        <v>45288</v>
      </c>
      <c r="J713" t="s">
        <v>821</v>
      </c>
      <c r="K713" t="s">
        <v>27</v>
      </c>
      <c r="L713" t="s">
        <v>70</v>
      </c>
      <c r="M713" t="s">
        <v>104</v>
      </c>
      <c r="N713" t="str">
        <f t="shared" si="23"/>
        <v>December</v>
      </c>
    </row>
    <row r="714" spans="1:14" x14ac:dyDescent="0.3">
      <c r="A714" t="s">
        <v>820</v>
      </c>
      <c r="B714" s="1">
        <v>9229</v>
      </c>
      <c r="C714" s="1">
        <f t="shared" si="22"/>
        <v>5139</v>
      </c>
      <c r="D714">
        <v>4090</v>
      </c>
      <c r="E714">
        <v>8</v>
      </c>
      <c r="F714" t="s">
        <v>15</v>
      </c>
      <c r="G714" t="s">
        <v>16</v>
      </c>
      <c r="H714" t="s">
        <v>67</v>
      </c>
      <c r="I714" s="2">
        <v>45288</v>
      </c>
      <c r="J714" t="s">
        <v>821</v>
      </c>
      <c r="K714" t="s">
        <v>27</v>
      </c>
      <c r="L714" t="s">
        <v>70</v>
      </c>
      <c r="M714" t="s">
        <v>104</v>
      </c>
      <c r="N714" t="str">
        <f t="shared" si="23"/>
        <v>December</v>
      </c>
    </row>
    <row r="715" spans="1:14" x14ac:dyDescent="0.3">
      <c r="A715" t="s">
        <v>822</v>
      </c>
      <c r="B715" s="1">
        <v>8141</v>
      </c>
      <c r="C715" s="1">
        <f t="shared" si="22"/>
        <v>4173</v>
      </c>
      <c r="D715">
        <v>3968</v>
      </c>
      <c r="E715">
        <v>18</v>
      </c>
      <c r="F715" t="s">
        <v>32</v>
      </c>
      <c r="G715" t="s">
        <v>59</v>
      </c>
      <c r="H715" t="s">
        <v>34</v>
      </c>
      <c r="I715" s="2">
        <v>44918</v>
      </c>
      <c r="J715" t="s">
        <v>823</v>
      </c>
      <c r="K715" t="s">
        <v>27</v>
      </c>
      <c r="L715" t="s">
        <v>70</v>
      </c>
      <c r="M715" t="s">
        <v>154</v>
      </c>
      <c r="N715" t="str">
        <f t="shared" si="23"/>
        <v>December</v>
      </c>
    </row>
    <row r="716" spans="1:14" x14ac:dyDescent="0.3">
      <c r="A716" t="s">
        <v>822</v>
      </c>
      <c r="B716" s="1">
        <v>8141</v>
      </c>
      <c r="C716" s="1">
        <f t="shared" si="22"/>
        <v>4173</v>
      </c>
      <c r="D716">
        <v>3968</v>
      </c>
      <c r="E716">
        <v>18</v>
      </c>
      <c r="F716" t="s">
        <v>32</v>
      </c>
      <c r="G716" t="s">
        <v>59</v>
      </c>
      <c r="H716" t="s">
        <v>34</v>
      </c>
      <c r="I716" s="2">
        <v>44783</v>
      </c>
      <c r="J716" t="s">
        <v>824</v>
      </c>
      <c r="K716" t="s">
        <v>23</v>
      </c>
      <c r="L716" t="s">
        <v>174</v>
      </c>
      <c r="M716" t="s">
        <v>211</v>
      </c>
      <c r="N716" t="str">
        <f t="shared" si="23"/>
        <v>August</v>
      </c>
    </row>
    <row r="717" spans="1:14" x14ac:dyDescent="0.3">
      <c r="A717" t="s">
        <v>822</v>
      </c>
      <c r="B717" s="1">
        <v>1067</v>
      </c>
      <c r="C717" s="1">
        <f t="shared" si="22"/>
        <v>816</v>
      </c>
      <c r="D717">
        <v>251</v>
      </c>
      <c r="E717">
        <v>14</v>
      </c>
      <c r="F717" t="s">
        <v>47</v>
      </c>
      <c r="G717" t="s">
        <v>62</v>
      </c>
      <c r="H717" t="s">
        <v>42</v>
      </c>
      <c r="I717" s="2">
        <v>44918</v>
      </c>
      <c r="J717" t="s">
        <v>823</v>
      </c>
      <c r="K717" t="s">
        <v>27</v>
      </c>
      <c r="L717" t="s">
        <v>70</v>
      </c>
      <c r="M717" t="s">
        <v>154</v>
      </c>
      <c r="N717" t="str">
        <f t="shared" si="23"/>
        <v>December</v>
      </c>
    </row>
    <row r="718" spans="1:14" x14ac:dyDescent="0.3">
      <c r="A718" t="s">
        <v>822</v>
      </c>
      <c r="B718" s="1">
        <v>1067</v>
      </c>
      <c r="C718" s="1">
        <f t="shared" si="22"/>
        <v>816</v>
      </c>
      <c r="D718">
        <v>251</v>
      </c>
      <c r="E718">
        <v>14</v>
      </c>
      <c r="F718" t="s">
        <v>47</v>
      </c>
      <c r="G718" t="s">
        <v>62</v>
      </c>
      <c r="H718" t="s">
        <v>42</v>
      </c>
      <c r="I718" s="2">
        <v>44783</v>
      </c>
      <c r="J718" t="s">
        <v>824</v>
      </c>
      <c r="K718" t="s">
        <v>23</v>
      </c>
      <c r="L718" t="s">
        <v>174</v>
      </c>
      <c r="M718" t="s">
        <v>211</v>
      </c>
      <c r="N718" t="str">
        <f t="shared" si="23"/>
        <v>August</v>
      </c>
    </row>
    <row r="719" spans="1:14" x14ac:dyDescent="0.3">
      <c r="A719" t="s">
        <v>825</v>
      </c>
      <c r="B719" s="1">
        <v>3839</v>
      </c>
      <c r="C719" s="1">
        <f t="shared" si="22"/>
        <v>2424</v>
      </c>
      <c r="D719">
        <v>1415</v>
      </c>
      <c r="E719">
        <v>10</v>
      </c>
      <c r="F719" t="s">
        <v>32</v>
      </c>
      <c r="G719" t="s">
        <v>80</v>
      </c>
      <c r="H719" t="s">
        <v>17</v>
      </c>
      <c r="I719" s="2">
        <v>45216</v>
      </c>
      <c r="J719" t="s">
        <v>826</v>
      </c>
      <c r="K719" t="s">
        <v>44</v>
      </c>
      <c r="L719" t="s">
        <v>45</v>
      </c>
      <c r="M719" t="s">
        <v>444</v>
      </c>
      <c r="N719" t="str">
        <f t="shared" si="23"/>
        <v>October</v>
      </c>
    </row>
    <row r="720" spans="1:14" x14ac:dyDescent="0.3">
      <c r="A720" t="s">
        <v>825</v>
      </c>
      <c r="B720" s="1">
        <v>3839</v>
      </c>
      <c r="C720" s="1">
        <f t="shared" si="22"/>
        <v>2424</v>
      </c>
      <c r="D720">
        <v>1415</v>
      </c>
      <c r="E720">
        <v>10</v>
      </c>
      <c r="F720" t="s">
        <v>32</v>
      </c>
      <c r="G720" t="s">
        <v>80</v>
      </c>
      <c r="H720" t="s">
        <v>17</v>
      </c>
      <c r="I720" s="2">
        <v>44620</v>
      </c>
      <c r="J720" t="s">
        <v>827</v>
      </c>
      <c r="K720" t="s">
        <v>19</v>
      </c>
      <c r="L720" t="s">
        <v>36</v>
      </c>
      <c r="M720" t="s">
        <v>139</v>
      </c>
      <c r="N720" t="str">
        <f t="shared" si="23"/>
        <v>February</v>
      </c>
    </row>
    <row r="721" spans="1:14" x14ac:dyDescent="0.3">
      <c r="A721" t="s">
        <v>828</v>
      </c>
      <c r="B721" s="1">
        <v>2858</v>
      </c>
      <c r="C721" s="1">
        <f t="shared" si="22"/>
        <v>2376</v>
      </c>
      <c r="D721">
        <v>482</v>
      </c>
      <c r="E721">
        <v>13</v>
      </c>
      <c r="F721" t="s">
        <v>15</v>
      </c>
      <c r="G721" t="s">
        <v>16</v>
      </c>
      <c r="H721" t="s">
        <v>67</v>
      </c>
      <c r="I721" s="2">
        <v>45436</v>
      </c>
      <c r="J721" t="s">
        <v>829</v>
      </c>
      <c r="K721" t="s">
        <v>73</v>
      </c>
      <c r="L721" t="s">
        <v>88</v>
      </c>
      <c r="M721" t="s">
        <v>37</v>
      </c>
      <c r="N721" t="str">
        <f t="shared" si="23"/>
        <v>May</v>
      </c>
    </row>
    <row r="722" spans="1:14" x14ac:dyDescent="0.3">
      <c r="A722" t="s">
        <v>830</v>
      </c>
      <c r="B722" s="1">
        <v>2137</v>
      </c>
      <c r="C722" s="1">
        <f t="shared" si="22"/>
        <v>1499</v>
      </c>
      <c r="D722">
        <v>638</v>
      </c>
      <c r="E722">
        <v>12</v>
      </c>
      <c r="F722" t="s">
        <v>47</v>
      </c>
      <c r="G722" t="s">
        <v>111</v>
      </c>
      <c r="H722" t="s">
        <v>34</v>
      </c>
      <c r="I722" s="2">
        <v>44106</v>
      </c>
      <c r="J722" t="s">
        <v>831</v>
      </c>
      <c r="K722" t="s">
        <v>27</v>
      </c>
      <c r="L722" t="s">
        <v>53</v>
      </c>
      <c r="M722" t="s">
        <v>121</v>
      </c>
      <c r="N722" t="str">
        <f t="shared" si="23"/>
        <v>October</v>
      </c>
    </row>
    <row r="723" spans="1:14" x14ac:dyDescent="0.3">
      <c r="A723" t="s">
        <v>830</v>
      </c>
      <c r="B723" s="1">
        <v>2831</v>
      </c>
      <c r="C723" s="1">
        <f t="shared" si="22"/>
        <v>1542</v>
      </c>
      <c r="D723">
        <v>1289</v>
      </c>
      <c r="E723">
        <v>12</v>
      </c>
      <c r="F723" t="s">
        <v>47</v>
      </c>
      <c r="G723" t="s">
        <v>51</v>
      </c>
      <c r="H723" t="s">
        <v>34</v>
      </c>
      <c r="I723" s="2">
        <v>44106</v>
      </c>
      <c r="J723" t="s">
        <v>831</v>
      </c>
      <c r="K723" t="s">
        <v>27</v>
      </c>
      <c r="L723" t="s">
        <v>53</v>
      </c>
      <c r="M723" t="s">
        <v>121</v>
      </c>
      <c r="N723" t="str">
        <f t="shared" si="23"/>
        <v>October</v>
      </c>
    </row>
    <row r="724" spans="1:14" x14ac:dyDescent="0.3">
      <c r="A724" t="s">
        <v>832</v>
      </c>
      <c r="B724" s="1">
        <v>3913</v>
      </c>
      <c r="C724" s="1">
        <f t="shared" si="22"/>
        <v>2952</v>
      </c>
      <c r="D724">
        <v>961</v>
      </c>
      <c r="E724">
        <v>15</v>
      </c>
      <c r="F724" t="s">
        <v>47</v>
      </c>
      <c r="G724" t="s">
        <v>62</v>
      </c>
      <c r="H724" t="s">
        <v>17</v>
      </c>
      <c r="I724" s="2">
        <v>45332</v>
      </c>
      <c r="J724" t="s">
        <v>833</v>
      </c>
      <c r="K724" t="s">
        <v>100</v>
      </c>
      <c r="L724" t="s">
        <v>101</v>
      </c>
      <c r="M724" t="s">
        <v>220</v>
      </c>
      <c r="N724" t="str">
        <f t="shared" si="23"/>
        <v>February</v>
      </c>
    </row>
    <row r="725" spans="1:14" x14ac:dyDescent="0.3">
      <c r="A725" t="s">
        <v>832</v>
      </c>
      <c r="B725" s="1">
        <v>3913</v>
      </c>
      <c r="C725" s="1">
        <f t="shared" si="22"/>
        <v>2952</v>
      </c>
      <c r="D725">
        <v>961</v>
      </c>
      <c r="E725">
        <v>15</v>
      </c>
      <c r="F725" t="s">
        <v>47</v>
      </c>
      <c r="G725" t="s">
        <v>62</v>
      </c>
      <c r="H725" t="s">
        <v>17</v>
      </c>
      <c r="I725" s="2">
        <v>44233</v>
      </c>
      <c r="J725" t="s">
        <v>834</v>
      </c>
      <c r="K725" t="s">
        <v>44</v>
      </c>
      <c r="L725" t="s">
        <v>94</v>
      </c>
      <c r="M725" t="s">
        <v>294</v>
      </c>
      <c r="N725" t="str">
        <f t="shared" si="23"/>
        <v>February</v>
      </c>
    </row>
    <row r="726" spans="1:14" x14ac:dyDescent="0.3">
      <c r="A726" t="s">
        <v>835</v>
      </c>
      <c r="B726" s="1">
        <v>4468</v>
      </c>
      <c r="C726" s="1">
        <f t="shared" si="22"/>
        <v>2528</v>
      </c>
      <c r="D726">
        <v>1940</v>
      </c>
      <c r="E726">
        <v>9</v>
      </c>
      <c r="F726" t="s">
        <v>32</v>
      </c>
      <c r="G726" t="s">
        <v>66</v>
      </c>
      <c r="H726" t="s">
        <v>67</v>
      </c>
      <c r="I726" s="2">
        <v>44636</v>
      </c>
      <c r="J726" t="s">
        <v>836</v>
      </c>
      <c r="K726" t="s">
        <v>19</v>
      </c>
      <c r="L726" t="s">
        <v>152</v>
      </c>
      <c r="M726" t="s">
        <v>136</v>
      </c>
      <c r="N726" t="str">
        <f t="shared" si="23"/>
        <v>March</v>
      </c>
    </row>
    <row r="727" spans="1:14" x14ac:dyDescent="0.3">
      <c r="A727" t="s">
        <v>837</v>
      </c>
      <c r="B727" s="1">
        <v>1579</v>
      </c>
      <c r="C727" s="1">
        <f t="shared" si="22"/>
        <v>977</v>
      </c>
      <c r="D727">
        <v>602</v>
      </c>
      <c r="E727">
        <v>9</v>
      </c>
      <c r="F727" t="s">
        <v>15</v>
      </c>
      <c r="G727" t="s">
        <v>41</v>
      </c>
      <c r="H727" t="s">
        <v>49</v>
      </c>
      <c r="I727" s="2">
        <v>43975</v>
      </c>
      <c r="J727" t="s">
        <v>838</v>
      </c>
      <c r="K727" t="s">
        <v>100</v>
      </c>
      <c r="L727" t="s">
        <v>109</v>
      </c>
      <c r="M727" t="s">
        <v>61</v>
      </c>
      <c r="N727" t="str">
        <f t="shared" si="23"/>
        <v>May</v>
      </c>
    </row>
    <row r="728" spans="1:14" x14ac:dyDescent="0.3">
      <c r="A728" t="s">
        <v>837</v>
      </c>
      <c r="B728" s="1">
        <v>1579</v>
      </c>
      <c r="C728" s="1">
        <f t="shared" si="22"/>
        <v>977</v>
      </c>
      <c r="D728">
        <v>602</v>
      </c>
      <c r="E728">
        <v>9</v>
      </c>
      <c r="F728" t="s">
        <v>15</v>
      </c>
      <c r="G728" t="s">
        <v>41</v>
      </c>
      <c r="H728" t="s">
        <v>49</v>
      </c>
      <c r="I728" s="2">
        <v>45704</v>
      </c>
      <c r="J728" t="s">
        <v>839</v>
      </c>
      <c r="K728" t="s">
        <v>73</v>
      </c>
      <c r="L728" t="s">
        <v>74</v>
      </c>
      <c r="M728" t="s">
        <v>75</v>
      </c>
      <c r="N728" t="str">
        <f t="shared" si="23"/>
        <v>February</v>
      </c>
    </row>
    <row r="729" spans="1:14" x14ac:dyDescent="0.3">
      <c r="A729" t="s">
        <v>837</v>
      </c>
      <c r="B729" s="1">
        <v>1579</v>
      </c>
      <c r="C729" s="1">
        <f t="shared" si="22"/>
        <v>977</v>
      </c>
      <c r="D729">
        <v>602</v>
      </c>
      <c r="E729">
        <v>9</v>
      </c>
      <c r="F729" t="s">
        <v>15</v>
      </c>
      <c r="G729" t="s">
        <v>41</v>
      </c>
      <c r="H729" t="s">
        <v>49</v>
      </c>
      <c r="I729" s="2">
        <v>44516</v>
      </c>
      <c r="J729" t="s">
        <v>840</v>
      </c>
      <c r="K729" t="s">
        <v>100</v>
      </c>
      <c r="L729" t="s">
        <v>109</v>
      </c>
      <c r="M729" t="s">
        <v>177</v>
      </c>
      <c r="N729" t="str">
        <f t="shared" si="23"/>
        <v>November</v>
      </c>
    </row>
    <row r="730" spans="1:14" x14ac:dyDescent="0.3">
      <c r="A730" t="s">
        <v>837</v>
      </c>
      <c r="B730" s="1">
        <v>1579</v>
      </c>
      <c r="C730" s="1">
        <f t="shared" si="22"/>
        <v>977</v>
      </c>
      <c r="D730">
        <v>602</v>
      </c>
      <c r="E730">
        <v>9</v>
      </c>
      <c r="F730" t="s">
        <v>15</v>
      </c>
      <c r="G730" t="s">
        <v>41</v>
      </c>
      <c r="H730" t="s">
        <v>49</v>
      </c>
      <c r="I730" s="2">
        <v>45543</v>
      </c>
      <c r="J730" t="s">
        <v>841</v>
      </c>
      <c r="K730" t="s">
        <v>27</v>
      </c>
      <c r="L730" t="s">
        <v>70</v>
      </c>
      <c r="M730" t="s">
        <v>161</v>
      </c>
      <c r="N730" t="str">
        <f t="shared" si="23"/>
        <v>September</v>
      </c>
    </row>
    <row r="731" spans="1:14" x14ac:dyDescent="0.3">
      <c r="A731" t="s">
        <v>837</v>
      </c>
      <c r="B731" s="1">
        <v>3760</v>
      </c>
      <c r="C731" s="1">
        <f t="shared" si="22"/>
        <v>1911</v>
      </c>
      <c r="D731">
        <v>1849</v>
      </c>
      <c r="E731">
        <v>19</v>
      </c>
      <c r="F731" t="s">
        <v>47</v>
      </c>
      <c r="G731" t="s">
        <v>51</v>
      </c>
      <c r="H731" t="s">
        <v>42</v>
      </c>
      <c r="I731" s="2">
        <v>43975</v>
      </c>
      <c r="J731" t="s">
        <v>838</v>
      </c>
      <c r="K731" t="s">
        <v>100</v>
      </c>
      <c r="L731" t="s">
        <v>109</v>
      </c>
      <c r="M731" t="s">
        <v>61</v>
      </c>
      <c r="N731" t="str">
        <f t="shared" si="23"/>
        <v>May</v>
      </c>
    </row>
    <row r="732" spans="1:14" x14ac:dyDescent="0.3">
      <c r="A732" t="s">
        <v>837</v>
      </c>
      <c r="B732" s="1">
        <v>3760</v>
      </c>
      <c r="C732" s="1">
        <f t="shared" si="22"/>
        <v>1911</v>
      </c>
      <c r="D732">
        <v>1849</v>
      </c>
      <c r="E732">
        <v>19</v>
      </c>
      <c r="F732" t="s">
        <v>47</v>
      </c>
      <c r="G732" t="s">
        <v>51</v>
      </c>
      <c r="H732" t="s">
        <v>42</v>
      </c>
      <c r="I732" s="2">
        <v>45704</v>
      </c>
      <c r="J732" t="s">
        <v>839</v>
      </c>
      <c r="K732" t="s">
        <v>73</v>
      </c>
      <c r="L732" t="s">
        <v>74</v>
      </c>
      <c r="M732" t="s">
        <v>75</v>
      </c>
      <c r="N732" t="str">
        <f t="shared" si="23"/>
        <v>February</v>
      </c>
    </row>
    <row r="733" spans="1:14" x14ac:dyDescent="0.3">
      <c r="A733" t="s">
        <v>837</v>
      </c>
      <c r="B733" s="1">
        <v>3760</v>
      </c>
      <c r="C733" s="1">
        <f t="shared" si="22"/>
        <v>1911</v>
      </c>
      <c r="D733">
        <v>1849</v>
      </c>
      <c r="E733">
        <v>19</v>
      </c>
      <c r="F733" t="s">
        <v>47</v>
      </c>
      <c r="G733" t="s">
        <v>51</v>
      </c>
      <c r="H733" t="s">
        <v>42</v>
      </c>
      <c r="I733" s="2">
        <v>44516</v>
      </c>
      <c r="J733" t="s">
        <v>840</v>
      </c>
      <c r="K733" t="s">
        <v>100</v>
      </c>
      <c r="L733" t="s">
        <v>109</v>
      </c>
      <c r="M733" t="s">
        <v>177</v>
      </c>
      <c r="N733" t="str">
        <f t="shared" si="23"/>
        <v>November</v>
      </c>
    </row>
    <row r="734" spans="1:14" x14ac:dyDescent="0.3">
      <c r="A734" t="s">
        <v>837</v>
      </c>
      <c r="B734" s="1">
        <v>3760</v>
      </c>
      <c r="C734" s="1">
        <f t="shared" si="22"/>
        <v>1911</v>
      </c>
      <c r="D734">
        <v>1849</v>
      </c>
      <c r="E734">
        <v>19</v>
      </c>
      <c r="F734" t="s">
        <v>47</v>
      </c>
      <c r="G734" t="s">
        <v>51</v>
      </c>
      <c r="H734" t="s">
        <v>42</v>
      </c>
      <c r="I734" s="2">
        <v>45543</v>
      </c>
      <c r="J734" t="s">
        <v>841</v>
      </c>
      <c r="K734" t="s">
        <v>27</v>
      </c>
      <c r="L734" t="s">
        <v>70</v>
      </c>
      <c r="M734" t="s">
        <v>161</v>
      </c>
      <c r="N734" t="str">
        <f t="shared" si="23"/>
        <v>September</v>
      </c>
    </row>
    <row r="735" spans="1:14" x14ac:dyDescent="0.3">
      <c r="A735" t="s">
        <v>842</v>
      </c>
      <c r="B735" s="1">
        <v>8706</v>
      </c>
      <c r="C735" s="1">
        <f t="shared" si="22"/>
        <v>5607</v>
      </c>
      <c r="D735">
        <v>3099</v>
      </c>
      <c r="E735">
        <v>14</v>
      </c>
      <c r="F735" t="s">
        <v>32</v>
      </c>
      <c r="G735" t="s">
        <v>33</v>
      </c>
      <c r="H735" t="s">
        <v>49</v>
      </c>
      <c r="I735" s="2">
        <v>44741</v>
      </c>
      <c r="J735" t="s">
        <v>843</v>
      </c>
      <c r="K735" t="s">
        <v>23</v>
      </c>
      <c r="L735" t="s">
        <v>24</v>
      </c>
      <c r="M735" t="s">
        <v>167</v>
      </c>
      <c r="N735" t="str">
        <f t="shared" si="23"/>
        <v>June</v>
      </c>
    </row>
    <row r="736" spans="1:14" x14ac:dyDescent="0.3">
      <c r="A736" t="s">
        <v>842</v>
      </c>
      <c r="B736" s="1">
        <v>4708</v>
      </c>
      <c r="C736" s="1">
        <f t="shared" si="22"/>
        <v>4012</v>
      </c>
      <c r="D736">
        <v>696</v>
      </c>
      <c r="E736">
        <v>14</v>
      </c>
      <c r="F736" t="s">
        <v>15</v>
      </c>
      <c r="G736" t="s">
        <v>16</v>
      </c>
      <c r="H736" t="s">
        <v>49</v>
      </c>
      <c r="I736" s="2">
        <v>44741</v>
      </c>
      <c r="J736" t="s">
        <v>843</v>
      </c>
      <c r="K736" t="s">
        <v>23</v>
      </c>
      <c r="L736" t="s">
        <v>24</v>
      </c>
      <c r="M736" t="s">
        <v>167</v>
      </c>
      <c r="N736" t="str">
        <f t="shared" si="23"/>
        <v>June</v>
      </c>
    </row>
    <row r="737" spans="1:14" x14ac:dyDescent="0.3">
      <c r="A737" t="s">
        <v>842</v>
      </c>
      <c r="B737" s="1">
        <v>8089</v>
      </c>
      <c r="C737" s="1">
        <f t="shared" si="22"/>
        <v>4957</v>
      </c>
      <c r="D737">
        <v>3132</v>
      </c>
      <c r="E737">
        <v>17</v>
      </c>
      <c r="F737" t="s">
        <v>47</v>
      </c>
      <c r="G737" t="s">
        <v>51</v>
      </c>
      <c r="H737" t="s">
        <v>67</v>
      </c>
      <c r="I737" s="2">
        <v>44741</v>
      </c>
      <c r="J737" t="s">
        <v>843</v>
      </c>
      <c r="K737" t="s">
        <v>23</v>
      </c>
      <c r="L737" t="s">
        <v>24</v>
      </c>
      <c r="M737" t="s">
        <v>167</v>
      </c>
      <c r="N737" t="str">
        <f t="shared" si="23"/>
        <v>June</v>
      </c>
    </row>
    <row r="738" spans="1:14" x14ac:dyDescent="0.3">
      <c r="A738" t="s">
        <v>844</v>
      </c>
      <c r="B738" s="1">
        <v>5462</v>
      </c>
      <c r="C738" s="1">
        <f t="shared" si="22"/>
        <v>4789</v>
      </c>
      <c r="D738">
        <v>673</v>
      </c>
      <c r="E738">
        <v>12</v>
      </c>
      <c r="F738" t="s">
        <v>15</v>
      </c>
      <c r="G738" t="s">
        <v>30</v>
      </c>
      <c r="H738" t="s">
        <v>34</v>
      </c>
      <c r="I738" s="2">
        <v>44868</v>
      </c>
      <c r="J738" t="s">
        <v>845</v>
      </c>
      <c r="K738" t="s">
        <v>73</v>
      </c>
      <c r="L738" t="s">
        <v>88</v>
      </c>
      <c r="M738" t="s">
        <v>46</v>
      </c>
      <c r="N738" t="str">
        <f t="shared" si="23"/>
        <v>November</v>
      </c>
    </row>
    <row r="739" spans="1:14" x14ac:dyDescent="0.3">
      <c r="A739" t="s">
        <v>846</v>
      </c>
      <c r="B739" s="1">
        <v>6392</v>
      </c>
      <c r="C739" s="1">
        <f t="shared" si="22"/>
        <v>5948</v>
      </c>
      <c r="D739">
        <v>444</v>
      </c>
      <c r="E739">
        <v>18</v>
      </c>
      <c r="F739" t="s">
        <v>15</v>
      </c>
      <c r="G739" t="s">
        <v>16</v>
      </c>
      <c r="H739" t="s">
        <v>49</v>
      </c>
      <c r="I739" s="2">
        <v>45258</v>
      </c>
      <c r="J739" t="s">
        <v>847</v>
      </c>
      <c r="K739" t="s">
        <v>19</v>
      </c>
      <c r="L739" t="s">
        <v>152</v>
      </c>
      <c r="M739" t="s">
        <v>54</v>
      </c>
      <c r="N739" t="str">
        <f t="shared" si="23"/>
        <v>November</v>
      </c>
    </row>
    <row r="740" spans="1:14" x14ac:dyDescent="0.3">
      <c r="A740" t="s">
        <v>848</v>
      </c>
      <c r="B740" s="1">
        <v>8706</v>
      </c>
      <c r="C740" s="1">
        <f t="shared" si="22"/>
        <v>6982</v>
      </c>
      <c r="D740">
        <v>1724</v>
      </c>
      <c r="E740">
        <v>3</v>
      </c>
      <c r="F740" t="s">
        <v>15</v>
      </c>
      <c r="G740" t="s">
        <v>16</v>
      </c>
      <c r="H740" t="s">
        <v>34</v>
      </c>
      <c r="I740" s="2">
        <v>43946</v>
      </c>
      <c r="J740" t="s">
        <v>849</v>
      </c>
      <c r="K740" t="s">
        <v>19</v>
      </c>
      <c r="L740" t="s">
        <v>36</v>
      </c>
      <c r="M740" t="s">
        <v>164</v>
      </c>
      <c r="N740" t="str">
        <f t="shared" si="23"/>
        <v>April</v>
      </c>
    </row>
    <row r="741" spans="1:14" x14ac:dyDescent="0.3">
      <c r="A741" t="s">
        <v>850</v>
      </c>
      <c r="B741" s="1">
        <v>2349</v>
      </c>
      <c r="C741" s="1">
        <f t="shared" si="22"/>
        <v>2030</v>
      </c>
      <c r="D741">
        <v>319</v>
      </c>
      <c r="E741">
        <v>4</v>
      </c>
      <c r="F741" t="s">
        <v>32</v>
      </c>
      <c r="G741" t="s">
        <v>33</v>
      </c>
      <c r="H741" t="s">
        <v>17</v>
      </c>
      <c r="I741" s="2">
        <v>44579</v>
      </c>
      <c r="J741" t="s">
        <v>851</v>
      </c>
      <c r="K741" t="s">
        <v>19</v>
      </c>
      <c r="L741" t="s">
        <v>20</v>
      </c>
      <c r="M741" t="s">
        <v>89</v>
      </c>
      <c r="N741" t="str">
        <f t="shared" si="23"/>
        <v>January</v>
      </c>
    </row>
    <row r="742" spans="1:14" x14ac:dyDescent="0.3">
      <c r="A742" t="s">
        <v>850</v>
      </c>
      <c r="B742" s="1">
        <v>8220</v>
      </c>
      <c r="C742" s="1">
        <f t="shared" si="22"/>
        <v>4338</v>
      </c>
      <c r="D742">
        <v>3882</v>
      </c>
      <c r="E742">
        <v>14</v>
      </c>
      <c r="F742" t="s">
        <v>47</v>
      </c>
      <c r="G742" t="s">
        <v>51</v>
      </c>
      <c r="H742" t="s">
        <v>17</v>
      </c>
      <c r="I742" s="2">
        <v>44579</v>
      </c>
      <c r="J742" t="s">
        <v>851</v>
      </c>
      <c r="K742" t="s">
        <v>19</v>
      </c>
      <c r="L742" t="s">
        <v>20</v>
      </c>
      <c r="M742" t="s">
        <v>89</v>
      </c>
      <c r="N742" t="str">
        <f t="shared" si="23"/>
        <v>January</v>
      </c>
    </row>
    <row r="743" spans="1:14" x14ac:dyDescent="0.3">
      <c r="A743" t="s">
        <v>850</v>
      </c>
      <c r="B743" s="1">
        <v>2379</v>
      </c>
      <c r="C743" s="1">
        <f t="shared" si="22"/>
        <v>2100</v>
      </c>
      <c r="D743">
        <v>279</v>
      </c>
      <c r="E743">
        <v>7</v>
      </c>
      <c r="F743" t="s">
        <v>47</v>
      </c>
      <c r="G743" t="s">
        <v>51</v>
      </c>
      <c r="H743" t="s">
        <v>34</v>
      </c>
      <c r="I743" s="2">
        <v>44579</v>
      </c>
      <c r="J743" t="s">
        <v>851</v>
      </c>
      <c r="K743" t="s">
        <v>19</v>
      </c>
      <c r="L743" t="s">
        <v>20</v>
      </c>
      <c r="M743" t="s">
        <v>89</v>
      </c>
      <c r="N743" t="str">
        <f t="shared" si="23"/>
        <v>January</v>
      </c>
    </row>
    <row r="744" spans="1:14" x14ac:dyDescent="0.3">
      <c r="A744" t="s">
        <v>850</v>
      </c>
      <c r="B744" s="1">
        <v>7377</v>
      </c>
      <c r="C744" s="1">
        <f t="shared" si="22"/>
        <v>5328</v>
      </c>
      <c r="D744">
        <v>2049</v>
      </c>
      <c r="E744">
        <v>4</v>
      </c>
      <c r="F744" t="s">
        <v>32</v>
      </c>
      <c r="G744" t="s">
        <v>59</v>
      </c>
      <c r="H744" t="s">
        <v>17</v>
      </c>
      <c r="I744" s="2">
        <v>44579</v>
      </c>
      <c r="J744" t="s">
        <v>851</v>
      </c>
      <c r="K744" t="s">
        <v>19</v>
      </c>
      <c r="L744" t="s">
        <v>20</v>
      </c>
      <c r="M744" t="s">
        <v>89</v>
      </c>
      <c r="N744" t="str">
        <f t="shared" si="23"/>
        <v>January</v>
      </c>
    </row>
    <row r="745" spans="1:14" x14ac:dyDescent="0.3">
      <c r="A745" t="s">
        <v>852</v>
      </c>
      <c r="B745" s="1">
        <v>717</v>
      </c>
      <c r="C745" s="1">
        <f t="shared" si="22"/>
        <v>559</v>
      </c>
      <c r="D745">
        <v>158</v>
      </c>
      <c r="E745">
        <v>16</v>
      </c>
      <c r="F745" t="s">
        <v>47</v>
      </c>
      <c r="G745" t="s">
        <v>48</v>
      </c>
      <c r="H745" t="s">
        <v>49</v>
      </c>
      <c r="I745" s="2">
        <v>44643</v>
      </c>
      <c r="J745" t="s">
        <v>853</v>
      </c>
      <c r="K745" t="s">
        <v>100</v>
      </c>
      <c r="L745" t="s">
        <v>119</v>
      </c>
      <c r="M745" t="s">
        <v>136</v>
      </c>
      <c r="N745" t="str">
        <f t="shared" si="23"/>
        <v>March</v>
      </c>
    </row>
    <row r="746" spans="1:14" x14ac:dyDescent="0.3">
      <c r="A746" t="s">
        <v>852</v>
      </c>
      <c r="B746" s="1">
        <v>717</v>
      </c>
      <c r="C746" s="1">
        <f t="shared" si="22"/>
        <v>559</v>
      </c>
      <c r="D746">
        <v>158</v>
      </c>
      <c r="E746">
        <v>16</v>
      </c>
      <c r="F746" t="s">
        <v>47</v>
      </c>
      <c r="G746" t="s">
        <v>48</v>
      </c>
      <c r="H746" t="s">
        <v>49</v>
      </c>
      <c r="I746" s="2">
        <v>44006</v>
      </c>
      <c r="J746" t="s">
        <v>854</v>
      </c>
      <c r="K746" t="s">
        <v>19</v>
      </c>
      <c r="L746" t="s">
        <v>20</v>
      </c>
      <c r="M746" t="s">
        <v>315</v>
      </c>
      <c r="N746" t="str">
        <f t="shared" si="23"/>
        <v>June</v>
      </c>
    </row>
    <row r="747" spans="1:14" x14ac:dyDescent="0.3">
      <c r="A747" t="s">
        <v>852</v>
      </c>
      <c r="B747" s="1">
        <v>717</v>
      </c>
      <c r="C747" s="1">
        <f t="shared" si="22"/>
        <v>559</v>
      </c>
      <c r="D747">
        <v>158</v>
      </c>
      <c r="E747">
        <v>16</v>
      </c>
      <c r="F747" t="s">
        <v>47</v>
      </c>
      <c r="G747" t="s">
        <v>48</v>
      </c>
      <c r="H747" t="s">
        <v>49</v>
      </c>
      <c r="I747" s="2">
        <v>44918</v>
      </c>
      <c r="J747" t="s">
        <v>855</v>
      </c>
      <c r="K747" t="s">
        <v>27</v>
      </c>
      <c r="L747" t="s">
        <v>28</v>
      </c>
      <c r="M747" t="s">
        <v>154</v>
      </c>
      <c r="N747" t="str">
        <f t="shared" si="23"/>
        <v>December</v>
      </c>
    </row>
    <row r="748" spans="1:14" x14ac:dyDescent="0.3">
      <c r="A748" t="s">
        <v>852</v>
      </c>
      <c r="B748" s="1">
        <v>717</v>
      </c>
      <c r="C748" s="1">
        <f t="shared" si="22"/>
        <v>559</v>
      </c>
      <c r="D748">
        <v>158</v>
      </c>
      <c r="E748">
        <v>16</v>
      </c>
      <c r="F748" t="s">
        <v>47</v>
      </c>
      <c r="G748" t="s">
        <v>48</v>
      </c>
      <c r="H748" t="s">
        <v>49</v>
      </c>
      <c r="I748" s="2">
        <v>45620</v>
      </c>
      <c r="J748" t="s">
        <v>856</v>
      </c>
      <c r="K748" t="s">
        <v>27</v>
      </c>
      <c r="L748" t="s">
        <v>53</v>
      </c>
      <c r="M748" t="s">
        <v>257</v>
      </c>
      <c r="N748" t="str">
        <f t="shared" si="23"/>
        <v>November</v>
      </c>
    </row>
    <row r="749" spans="1:14" x14ac:dyDescent="0.3">
      <c r="A749" t="s">
        <v>852</v>
      </c>
      <c r="B749" s="1">
        <v>717</v>
      </c>
      <c r="C749" s="1">
        <f t="shared" si="22"/>
        <v>559</v>
      </c>
      <c r="D749">
        <v>158</v>
      </c>
      <c r="E749">
        <v>16</v>
      </c>
      <c r="F749" t="s">
        <v>47</v>
      </c>
      <c r="G749" t="s">
        <v>48</v>
      </c>
      <c r="H749" t="s">
        <v>49</v>
      </c>
      <c r="I749" s="2">
        <v>44141</v>
      </c>
      <c r="J749" t="s">
        <v>857</v>
      </c>
      <c r="K749" t="s">
        <v>19</v>
      </c>
      <c r="L749" t="s">
        <v>36</v>
      </c>
      <c r="M749" t="s">
        <v>82</v>
      </c>
      <c r="N749" t="str">
        <f t="shared" si="23"/>
        <v>November</v>
      </c>
    </row>
    <row r="750" spans="1:14" x14ac:dyDescent="0.3">
      <c r="A750" t="s">
        <v>852</v>
      </c>
      <c r="B750" s="1">
        <v>717</v>
      </c>
      <c r="C750" s="1">
        <f t="shared" si="22"/>
        <v>559</v>
      </c>
      <c r="D750">
        <v>158</v>
      </c>
      <c r="E750">
        <v>16</v>
      </c>
      <c r="F750" t="s">
        <v>47</v>
      </c>
      <c r="G750" t="s">
        <v>48</v>
      </c>
      <c r="H750" t="s">
        <v>49</v>
      </c>
      <c r="I750" s="2">
        <v>45223</v>
      </c>
      <c r="J750" t="s">
        <v>858</v>
      </c>
      <c r="K750" t="s">
        <v>27</v>
      </c>
      <c r="L750" t="s">
        <v>70</v>
      </c>
      <c r="M750" t="s">
        <v>444</v>
      </c>
      <c r="N750" t="str">
        <f t="shared" si="23"/>
        <v>October</v>
      </c>
    </row>
    <row r="751" spans="1:14" x14ac:dyDescent="0.3">
      <c r="A751" t="s">
        <v>852</v>
      </c>
      <c r="B751" s="1">
        <v>508</v>
      </c>
      <c r="C751" s="1">
        <f t="shared" si="22"/>
        <v>331</v>
      </c>
      <c r="D751">
        <v>177</v>
      </c>
      <c r="E751">
        <v>17</v>
      </c>
      <c r="F751" t="s">
        <v>47</v>
      </c>
      <c r="G751" t="s">
        <v>62</v>
      </c>
      <c r="H751" t="s">
        <v>17</v>
      </c>
      <c r="I751" s="2">
        <v>44643</v>
      </c>
      <c r="J751" t="s">
        <v>853</v>
      </c>
      <c r="K751" t="s">
        <v>100</v>
      </c>
      <c r="L751" t="s">
        <v>119</v>
      </c>
      <c r="M751" t="s">
        <v>136</v>
      </c>
      <c r="N751" t="str">
        <f t="shared" si="23"/>
        <v>March</v>
      </c>
    </row>
    <row r="752" spans="1:14" x14ac:dyDescent="0.3">
      <c r="A752" t="s">
        <v>852</v>
      </c>
      <c r="B752" s="1">
        <v>508</v>
      </c>
      <c r="C752" s="1">
        <f t="shared" si="22"/>
        <v>331</v>
      </c>
      <c r="D752">
        <v>177</v>
      </c>
      <c r="E752">
        <v>17</v>
      </c>
      <c r="F752" t="s">
        <v>47</v>
      </c>
      <c r="G752" t="s">
        <v>62</v>
      </c>
      <c r="H752" t="s">
        <v>17</v>
      </c>
      <c r="I752" s="2">
        <v>44006</v>
      </c>
      <c r="J752" t="s">
        <v>854</v>
      </c>
      <c r="K752" t="s">
        <v>19</v>
      </c>
      <c r="L752" t="s">
        <v>20</v>
      </c>
      <c r="M752" t="s">
        <v>315</v>
      </c>
      <c r="N752" t="str">
        <f t="shared" si="23"/>
        <v>June</v>
      </c>
    </row>
    <row r="753" spans="1:14" x14ac:dyDescent="0.3">
      <c r="A753" t="s">
        <v>852</v>
      </c>
      <c r="B753" s="1">
        <v>508</v>
      </c>
      <c r="C753" s="1">
        <f t="shared" si="22"/>
        <v>331</v>
      </c>
      <c r="D753">
        <v>177</v>
      </c>
      <c r="E753">
        <v>17</v>
      </c>
      <c r="F753" t="s">
        <v>47</v>
      </c>
      <c r="G753" t="s">
        <v>62</v>
      </c>
      <c r="H753" t="s">
        <v>17</v>
      </c>
      <c r="I753" s="2">
        <v>44918</v>
      </c>
      <c r="J753" t="s">
        <v>855</v>
      </c>
      <c r="K753" t="s">
        <v>27</v>
      </c>
      <c r="L753" t="s">
        <v>28</v>
      </c>
      <c r="M753" t="s">
        <v>154</v>
      </c>
      <c r="N753" t="str">
        <f t="shared" si="23"/>
        <v>December</v>
      </c>
    </row>
    <row r="754" spans="1:14" x14ac:dyDescent="0.3">
      <c r="A754" t="s">
        <v>852</v>
      </c>
      <c r="B754" s="1">
        <v>508</v>
      </c>
      <c r="C754" s="1">
        <f t="shared" si="22"/>
        <v>331</v>
      </c>
      <c r="D754">
        <v>177</v>
      </c>
      <c r="E754">
        <v>17</v>
      </c>
      <c r="F754" t="s">
        <v>47</v>
      </c>
      <c r="G754" t="s">
        <v>62</v>
      </c>
      <c r="H754" t="s">
        <v>17</v>
      </c>
      <c r="I754" s="2">
        <v>45620</v>
      </c>
      <c r="J754" t="s">
        <v>856</v>
      </c>
      <c r="K754" t="s">
        <v>27</v>
      </c>
      <c r="L754" t="s">
        <v>53</v>
      </c>
      <c r="M754" t="s">
        <v>257</v>
      </c>
      <c r="N754" t="str">
        <f t="shared" si="23"/>
        <v>November</v>
      </c>
    </row>
    <row r="755" spans="1:14" x14ac:dyDescent="0.3">
      <c r="A755" t="s">
        <v>852</v>
      </c>
      <c r="B755" s="1">
        <v>508</v>
      </c>
      <c r="C755" s="1">
        <f t="shared" si="22"/>
        <v>331</v>
      </c>
      <c r="D755">
        <v>177</v>
      </c>
      <c r="E755">
        <v>17</v>
      </c>
      <c r="F755" t="s">
        <v>47</v>
      </c>
      <c r="G755" t="s">
        <v>62</v>
      </c>
      <c r="H755" t="s">
        <v>17</v>
      </c>
      <c r="I755" s="2">
        <v>44141</v>
      </c>
      <c r="J755" t="s">
        <v>857</v>
      </c>
      <c r="K755" t="s">
        <v>19</v>
      </c>
      <c r="L755" t="s">
        <v>36</v>
      </c>
      <c r="M755" t="s">
        <v>82</v>
      </c>
      <c r="N755" t="str">
        <f t="shared" si="23"/>
        <v>November</v>
      </c>
    </row>
    <row r="756" spans="1:14" x14ac:dyDescent="0.3">
      <c r="A756" t="s">
        <v>852</v>
      </c>
      <c r="B756" s="1">
        <v>508</v>
      </c>
      <c r="C756" s="1">
        <f t="shared" si="22"/>
        <v>331</v>
      </c>
      <c r="D756">
        <v>177</v>
      </c>
      <c r="E756">
        <v>17</v>
      </c>
      <c r="F756" t="s">
        <v>47</v>
      </c>
      <c r="G756" t="s">
        <v>62</v>
      </c>
      <c r="H756" t="s">
        <v>17</v>
      </c>
      <c r="I756" s="2">
        <v>45223</v>
      </c>
      <c r="J756" t="s">
        <v>858</v>
      </c>
      <c r="K756" t="s">
        <v>27</v>
      </c>
      <c r="L756" t="s">
        <v>70</v>
      </c>
      <c r="M756" t="s">
        <v>444</v>
      </c>
      <c r="N756" t="str">
        <f t="shared" si="23"/>
        <v>October</v>
      </c>
    </row>
    <row r="757" spans="1:14" x14ac:dyDescent="0.3">
      <c r="A757" t="s">
        <v>859</v>
      </c>
      <c r="B757" s="1">
        <v>9382</v>
      </c>
      <c r="C757" s="1">
        <f t="shared" si="22"/>
        <v>8297</v>
      </c>
      <c r="D757">
        <v>1085</v>
      </c>
      <c r="E757">
        <v>3</v>
      </c>
      <c r="F757" t="s">
        <v>15</v>
      </c>
      <c r="G757" t="s">
        <v>30</v>
      </c>
      <c r="H757" t="s">
        <v>34</v>
      </c>
      <c r="I757" s="2">
        <v>45125</v>
      </c>
      <c r="J757" t="s">
        <v>860</v>
      </c>
      <c r="K757" t="s">
        <v>23</v>
      </c>
      <c r="L757" t="s">
        <v>24</v>
      </c>
      <c r="M757" t="s">
        <v>107</v>
      </c>
      <c r="N757" t="str">
        <f t="shared" si="23"/>
        <v>July</v>
      </c>
    </row>
    <row r="758" spans="1:14" x14ac:dyDescent="0.3">
      <c r="A758" t="s">
        <v>859</v>
      </c>
      <c r="B758" s="1">
        <v>9382</v>
      </c>
      <c r="C758" s="1">
        <f t="shared" si="22"/>
        <v>8297</v>
      </c>
      <c r="D758">
        <v>1085</v>
      </c>
      <c r="E758">
        <v>3</v>
      </c>
      <c r="F758" t="s">
        <v>15</v>
      </c>
      <c r="G758" t="s">
        <v>30</v>
      </c>
      <c r="H758" t="s">
        <v>34</v>
      </c>
      <c r="I758" s="2">
        <v>44697</v>
      </c>
      <c r="J758" t="s">
        <v>861</v>
      </c>
      <c r="K758" t="s">
        <v>27</v>
      </c>
      <c r="L758" t="s">
        <v>70</v>
      </c>
      <c r="M758" t="s">
        <v>182</v>
      </c>
      <c r="N758" t="str">
        <f t="shared" si="23"/>
        <v>May</v>
      </c>
    </row>
    <row r="759" spans="1:14" x14ac:dyDescent="0.3">
      <c r="A759" t="s">
        <v>859</v>
      </c>
      <c r="B759" s="1">
        <v>4936</v>
      </c>
      <c r="C759" s="1">
        <f t="shared" si="22"/>
        <v>4360</v>
      </c>
      <c r="D759">
        <v>576</v>
      </c>
      <c r="E759">
        <v>19</v>
      </c>
      <c r="F759" t="s">
        <v>47</v>
      </c>
      <c r="G759" t="s">
        <v>48</v>
      </c>
      <c r="H759" t="s">
        <v>67</v>
      </c>
      <c r="I759" s="2">
        <v>45125</v>
      </c>
      <c r="J759" t="s">
        <v>860</v>
      </c>
      <c r="K759" t="s">
        <v>23</v>
      </c>
      <c r="L759" t="s">
        <v>24</v>
      </c>
      <c r="M759" t="s">
        <v>107</v>
      </c>
      <c r="N759" t="str">
        <f t="shared" si="23"/>
        <v>July</v>
      </c>
    </row>
    <row r="760" spans="1:14" x14ac:dyDescent="0.3">
      <c r="A760" t="s">
        <v>859</v>
      </c>
      <c r="B760" s="1">
        <v>4936</v>
      </c>
      <c r="C760" s="1">
        <f t="shared" si="22"/>
        <v>4360</v>
      </c>
      <c r="D760">
        <v>576</v>
      </c>
      <c r="E760">
        <v>19</v>
      </c>
      <c r="F760" t="s">
        <v>47</v>
      </c>
      <c r="G760" t="s">
        <v>48</v>
      </c>
      <c r="H760" t="s">
        <v>67</v>
      </c>
      <c r="I760" s="2">
        <v>44697</v>
      </c>
      <c r="J760" t="s">
        <v>861</v>
      </c>
      <c r="K760" t="s">
        <v>27</v>
      </c>
      <c r="L760" t="s">
        <v>70</v>
      </c>
      <c r="M760" t="s">
        <v>182</v>
      </c>
      <c r="N760" t="str">
        <f t="shared" si="23"/>
        <v>May</v>
      </c>
    </row>
    <row r="761" spans="1:14" x14ac:dyDescent="0.3">
      <c r="A761" t="s">
        <v>862</v>
      </c>
      <c r="B761" s="1">
        <v>2663</v>
      </c>
      <c r="C761" s="1">
        <f t="shared" si="22"/>
        <v>2599</v>
      </c>
      <c r="D761">
        <v>64</v>
      </c>
      <c r="E761">
        <v>19</v>
      </c>
      <c r="F761" t="s">
        <v>47</v>
      </c>
      <c r="G761" t="s">
        <v>62</v>
      </c>
      <c r="H761" t="s">
        <v>67</v>
      </c>
      <c r="I761" s="2">
        <v>45459</v>
      </c>
      <c r="J761" t="s">
        <v>863</v>
      </c>
      <c r="K761" t="s">
        <v>44</v>
      </c>
      <c r="L761" t="s">
        <v>94</v>
      </c>
      <c r="M761" t="s">
        <v>264</v>
      </c>
      <c r="N761" t="str">
        <f t="shared" si="23"/>
        <v>June</v>
      </c>
    </row>
    <row r="762" spans="1:14" x14ac:dyDescent="0.3">
      <c r="A762" t="s">
        <v>862</v>
      </c>
      <c r="B762" s="1">
        <v>2663</v>
      </c>
      <c r="C762" s="1">
        <f t="shared" si="22"/>
        <v>2599</v>
      </c>
      <c r="D762">
        <v>64</v>
      </c>
      <c r="E762">
        <v>19</v>
      </c>
      <c r="F762" t="s">
        <v>47</v>
      </c>
      <c r="G762" t="s">
        <v>62</v>
      </c>
      <c r="H762" t="s">
        <v>67</v>
      </c>
      <c r="I762" s="2">
        <v>44492</v>
      </c>
      <c r="J762" t="s">
        <v>864</v>
      </c>
      <c r="K762" t="s">
        <v>100</v>
      </c>
      <c r="L762" t="s">
        <v>119</v>
      </c>
      <c r="M762" t="s">
        <v>39</v>
      </c>
      <c r="N762" t="str">
        <f t="shared" si="23"/>
        <v>October</v>
      </c>
    </row>
    <row r="763" spans="1:14" x14ac:dyDescent="0.3">
      <c r="A763" t="s">
        <v>865</v>
      </c>
      <c r="B763" s="1">
        <v>5151</v>
      </c>
      <c r="C763" s="1">
        <f t="shared" si="22"/>
        <v>3471</v>
      </c>
      <c r="D763">
        <v>1680</v>
      </c>
      <c r="E763">
        <v>5</v>
      </c>
      <c r="F763" t="s">
        <v>15</v>
      </c>
      <c r="G763" t="s">
        <v>30</v>
      </c>
      <c r="H763" t="s">
        <v>42</v>
      </c>
      <c r="I763" s="2">
        <v>44856</v>
      </c>
      <c r="J763" t="s">
        <v>866</v>
      </c>
      <c r="K763" t="s">
        <v>73</v>
      </c>
      <c r="L763" t="s">
        <v>140</v>
      </c>
      <c r="M763" t="s">
        <v>98</v>
      </c>
      <c r="N763" t="str">
        <f t="shared" si="23"/>
        <v>October</v>
      </c>
    </row>
    <row r="764" spans="1:14" x14ac:dyDescent="0.3">
      <c r="A764" t="s">
        <v>867</v>
      </c>
      <c r="B764" s="1">
        <v>2514</v>
      </c>
      <c r="C764" s="1">
        <f t="shared" si="22"/>
        <v>2419</v>
      </c>
      <c r="D764">
        <v>95</v>
      </c>
      <c r="E764">
        <v>8</v>
      </c>
      <c r="F764" t="s">
        <v>32</v>
      </c>
      <c r="G764" t="s">
        <v>33</v>
      </c>
      <c r="H764" t="s">
        <v>17</v>
      </c>
      <c r="I764" s="2">
        <v>45124</v>
      </c>
      <c r="J764" t="s">
        <v>868</v>
      </c>
      <c r="K764" t="s">
        <v>27</v>
      </c>
      <c r="L764" t="s">
        <v>70</v>
      </c>
      <c r="M764" t="s">
        <v>107</v>
      </c>
      <c r="N764" t="str">
        <f t="shared" si="23"/>
        <v>July</v>
      </c>
    </row>
    <row r="765" spans="1:14" x14ac:dyDescent="0.3">
      <c r="A765" t="s">
        <v>869</v>
      </c>
      <c r="B765" s="1">
        <v>6129</v>
      </c>
      <c r="C765" s="1">
        <f t="shared" si="22"/>
        <v>3153</v>
      </c>
      <c r="D765">
        <v>2976</v>
      </c>
      <c r="E765">
        <v>2</v>
      </c>
      <c r="F765" t="s">
        <v>15</v>
      </c>
      <c r="G765" t="s">
        <v>41</v>
      </c>
      <c r="H765" t="s">
        <v>42</v>
      </c>
      <c r="I765" s="2">
        <v>45712</v>
      </c>
      <c r="J765" t="s">
        <v>870</v>
      </c>
      <c r="K765" t="s">
        <v>27</v>
      </c>
      <c r="L765" t="s">
        <v>53</v>
      </c>
      <c r="M765" t="s">
        <v>75</v>
      </c>
      <c r="N765" t="str">
        <f t="shared" si="23"/>
        <v>February</v>
      </c>
    </row>
    <row r="766" spans="1:14" x14ac:dyDescent="0.3">
      <c r="A766" t="s">
        <v>869</v>
      </c>
      <c r="B766" s="1">
        <v>4395</v>
      </c>
      <c r="C766" s="1">
        <f t="shared" si="22"/>
        <v>2732</v>
      </c>
      <c r="D766">
        <v>1663</v>
      </c>
      <c r="E766">
        <v>3</v>
      </c>
      <c r="F766" t="s">
        <v>47</v>
      </c>
      <c r="G766" t="s">
        <v>111</v>
      </c>
      <c r="H766" t="s">
        <v>67</v>
      </c>
      <c r="I766" s="2">
        <v>45712</v>
      </c>
      <c r="J766" t="s">
        <v>870</v>
      </c>
      <c r="K766" t="s">
        <v>27</v>
      </c>
      <c r="L766" t="s">
        <v>53</v>
      </c>
      <c r="M766" t="s">
        <v>75</v>
      </c>
      <c r="N766" t="str">
        <f t="shared" si="23"/>
        <v>February</v>
      </c>
    </row>
    <row r="767" spans="1:14" x14ac:dyDescent="0.3">
      <c r="A767" t="s">
        <v>871</v>
      </c>
      <c r="B767" s="1">
        <v>5393</v>
      </c>
      <c r="C767" s="1">
        <f t="shared" si="22"/>
        <v>2751</v>
      </c>
      <c r="D767">
        <v>2642</v>
      </c>
      <c r="E767">
        <v>8</v>
      </c>
      <c r="F767" t="s">
        <v>47</v>
      </c>
      <c r="G767" t="s">
        <v>51</v>
      </c>
      <c r="H767" t="s">
        <v>17</v>
      </c>
      <c r="I767" s="2">
        <v>44262</v>
      </c>
      <c r="J767" t="s">
        <v>872</v>
      </c>
      <c r="K767" t="s">
        <v>100</v>
      </c>
      <c r="L767" t="s">
        <v>109</v>
      </c>
      <c r="M767" t="s">
        <v>169</v>
      </c>
      <c r="N767" t="str">
        <f t="shared" si="23"/>
        <v>March</v>
      </c>
    </row>
    <row r="768" spans="1:14" x14ac:dyDescent="0.3">
      <c r="A768" t="s">
        <v>873</v>
      </c>
      <c r="B768" s="1">
        <v>2280</v>
      </c>
      <c r="C768" s="1">
        <f t="shared" si="22"/>
        <v>1771</v>
      </c>
      <c r="D768">
        <v>509</v>
      </c>
      <c r="E768">
        <v>8</v>
      </c>
      <c r="F768" t="s">
        <v>15</v>
      </c>
      <c r="G768" t="s">
        <v>84</v>
      </c>
      <c r="H768" t="s">
        <v>49</v>
      </c>
      <c r="I768" s="2">
        <v>44199</v>
      </c>
      <c r="J768" t="s">
        <v>874</v>
      </c>
      <c r="K768" t="s">
        <v>27</v>
      </c>
      <c r="L768" t="s">
        <v>28</v>
      </c>
      <c r="M768" t="s">
        <v>278</v>
      </c>
      <c r="N768" t="str">
        <f t="shared" si="23"/>
        <v>January</v>
      </c>
    </row>
    <row r="769" spans="1:14" x14ac:dyDescent="0.3">
      <c r="A769" t="s">
        <v>875</v>
      </c>
      <c r="B769" s="1">
        <v>6596</v>
      </c>
      <c r="C769" s="1">
        <f t="shared" si="22"/>
        <v>5157</v>
      </c>
      <c r="D769">
        <v>1439</v>
      </c>
      <c r="E769">
        <v>9</v>
      </c>
      <c r="F769" t="s">
        <v>32</v>
      </c>
      <c r="G769" t="s">
        <v>66</v>
      </c>
      <c r="H769" t="s">
        <v>34</v>
      </c>
      <c r="I769" s="2">
        <v>45049</v>
      </c>
      <c r="J769" t="s">
        <v>876</v>
      </c>
      <c r="K769" t="s">
        <v>100</v>
      </c>
      <c r="L769" t="s">
        <v>109</v>
      </c>
      <c r="M769" t="s">
        <v>129</v>
      </c>
      <c r="N769" t="str">
        <f t="shared" si="23"/>
        <v>May</v>
      </c>
    </row>
    <row r="770" spans="1:14" x14ac:dyDescent="0.3">
      <c r="A770" t="s">
        <v>877</v>
      </c>
      <c r="B770" s="1">
        <v>4510</v>
      </c>
      <c r="C770" s="1">
        <f t="shared" ref="C770:C833" si="24">B770-D770</f>
        <v>2614</v>
      </c>
      <c r="D770">
        <v>1896</v>
      </c>
      <c r="E770">
        <v>5</v>
      </c>
      <c r="F770" t="s">
        <v>32</v>
      </c>
      <c r="G770" t="s">
        <v>66</v>
      </c>
      <c r="H770" t="s">
        <v>42</v>
      </c>
      <c r="I770" s="2">
        <v>45224</v>
      </c>
      <c r="J770" t="s">
        <v>878</v>
      </c>
      <c r="K770" t="s">
        <v>44</v>
      </c>
      <c r="L770" t="s">
        <v>45</v>
      </c>
      <c r="M770" t="s">
        <v>444</v>
      </c>
      <c r="N770" t="str">
        <f t="shared" si="23"/>
        <v>October</v>
      </c>
    </row>
    <row r="771" spans="1:14" x14ac:dyDescent="0.3">
      <c r="A771" t="s">
        <v>879</v>
      </c>
      <c r="B771" s="1">
        <v>6077</v>
      </c>
      <c r="C771" s="1">
        <f t="shared" si="24"/>
        <v>3699</v>
      </c>
      <c r="D771">
        <v>2378</v>
      </c>
      <c r="E771">
        <v>18</v>
      </c>
      <c r="F771" t="s">
        <v>15</v>
      </c>
      <c r="G771" t="s">
        <v>84</v>
      </c>
      <c r="H771" t="s">
        <v>67</v>
      </c>
      <c r="I771" s="2">
        <v>44794</v>
      </c>
      <c r="J771" t="s">
        <v>880</v>
      </c>
      <c r="K771" t="s">
        <v>27</v>
      </c>
      <c r="L771" t="s">
        <v>53</v>
      </c>
      <c r="M771" t="s">
        <v>211</v>
      </c>
      <c r="N771" t="str">
        <f t="shared" ref="N771:N834" si="25">TEXT(DATE(LEFT(M771,4),RIGHT(M771,2),1),"mmmm")</f>
        <v>August</v>
      </c>
    </row>
    <row r="772" spans="1:14" x14ac:dyDescent="0.3">
      <c r="A772" t="s">
        <v>881</v>
      </c>
      <c r="B772" s="1">
        <v>5379</v>
      </c>
      <c r="C772" s="1">
        <f t="shared" si="24"/>
        <v>2869</v>
      </c>
      <c r="D772">
        <v>2510</v>
      </c>
      <c r="E772">
        <v>17</v>
      </c>
      <c r="F772" t="s">
        <v>15</v>
      </c>
      <c r="G772" t="s">
        <v>30</v>
      </c>
      <c r="H772" t="s">
        <v>67</v>
      </c>
      <c r="I772" s="2">
        <v>44667</v>
      </c>
      <c r="J772" t="s">
        <v>882</v>
      </c>
      <c r="K772" t="s">
        <v>100</v>
      </c>
      <c r="L772" t="s">
        <v>101</v>
      </c>
      <c r="M772" t="s">
        <v>189</v>
      </c>
      <c r="N772" t="str">
        <f t="shared" si="25"/>
        <v>April</v>
      </c>
    </row>
    <row r="773" spans="1:14" x14ac:dyDescent="0.3">
      <c r="A773" t="s">
        <v>883</v>
      </c>
      <c r="B773" s="1">
        <v>4629</v>
      </c>
      <c r="C773" s="1">
        <f t="shared" si="24"/>
        <v>2969</v>
      </c>
      <c r="D773">
        <v>1660</v>
      </c>
      <c r="E773">
        <v>16</v>
      </c>
      <c r="F773" t="s">
        <v>32</v>
      </c>
      <c r="G773" t="s">
        <v>59</v>
      </c>
      <c r="H773" t="s">
        <v>42</v>
      </c>
      <c r="I773" s="2">
        <v>45018</v>
      </c>
      <c r="J773" t="s">
        <v>884</v>
      </c>
      <c r="K773" t="s">
        <v>44</v>
      </c>
      <c r="L773" t="s">
        <v>77</v>
      </c>
      <c r="M773" t="s">
        <v>147</v>
      </c>
      <c r="N773" t="str">
        <f t="shared" si="25"/>
        <v>April</v>
      </c>
    </row>
    <row r="774" spans="1:14" x14ac:dyDescent="0.3">
      <c r="A774" t="s">
        <v>885</v>
      </c>
      <c r="B774" s="1">
        <v>2710</v>
      </c>
      <c r="C774" s="1">
        <f t="shared" si="24"/>
        <v>2155</v>
      </c>
      <c r="D774">
        <v>555</v>
      </c>
      <c r="E774">
        <v>20</v>
      </c>
      <c r="F774" t="s">
        <v>15</v>
      </c>
      <c r="G774" t="s">
        <v>41</v>
      </c>
      <c r="H774" t="s">
        <v>34</v>
      </c>
      <c r="I774" s="2">
        <v>45586</v>
      </c>
      <c r="J774" t="s">
        <v>886</v>
      </c>
      <c r="K774" t="s">
        <v>23</v>
      </c>
      <c r="L774" t="s">
        <v>24</v>
      </c>
      <c r="M774" t="s">
        <v>362</v>
      </c>
      <c r="N774" t="str">
        <f t="shared" si="25"/>
        <v>October</v>
      </c>
    </row>
    <row r="775" spans="1:14" x14ac:dyDescent="0.3">
      <c r="A775" t="s">
        <v>885</v>
      </c>
      <c r="B775" s="1">
        <v>3224</v>
      </c>
      <c r="C775" s="1">
        <f t="shared" si="24"/>
        <v>2206</v>
      </c>
      <c r="D775">
        <v>1018</v>
      </c>
      <c r="E775">
        <v>14</v>
      </c>
      <c r="F775" t="s">
        <v>32</v>
      </c>
      <c r="G775" t="s">
        <v>80</v>
      </c>
      <c r="H775" t="s">
        <v>17</v>
      </c>
      <c r="I775" s="2">
        <v>45586</v>
      </c>
      <c r="J775" t="s">
        <v>886</v>
      </c>
      <c r="K775" t="s">
        <v>23</v>
      </c>
      <c r="L775" t="s">
        <v>24</v>
      </c>
      <c r="M775" t="s">
        <v>362</v>
      </c>
      <c r="N775" t="str">
        <f t="shared" si="25"/>
        <v>October</v>
      </c>
    </row>
    <row r="776" spans="1:14" x14ac:dyDescent="0.3">
      <c r="A776" t="s">
        <v>887</v>
      </c>
      <c r="B776" s="1">
        <v>8042</v>
      </c>
      <c r="C776" s="1">
        <f t="shared" si="24"/>
        <v>7106</v>
      </c>
      <c r="D776">
        <v>936</v>
      </c>
      <c r="E776">
        <v>15</v>
      </c>
      <c r="F776" t="s">
        <v>32</v>
      </c>
      <c r="G776" t="s">
        <v>59</v>
      </c>
      <c r="H776" t="s">
        <v>42</v>
      </c>
      <c r="I776" s="2">
        <v>44386</v>
      </c>
      <c r="J776" t="s">
        <v>888</v>
      </c>
      <c r="K776" t="s">
        <v>23</v>
      </c>
      <c r="L776" t="s">
        <v>65</v>
      </c>
      <c r="M776" t="s">
        <v>29</v>
      </c>
      <c r="N776" t="str">
        <f t="shared" si="25"/>
        <v>July</v>
      </c>
    </row>
    <row r="777" spans="1:14" x14ac:dyDescent="0.3">
      <c r="A777" t="s">
        <v>887</v>
      </c>
      <c r="B777" s="1">
        <v>8042</v>
      </c>
      <c r="C777" s="1">
        <f t="shared" si="24"/>
        <v>7106</v>
      </c>
      <c r="D777">
        <v>936</v>
      </c>
      <c r="E777">
        <v>15</v>
      </c>
      <c r="F777" t="s">
        <v>32</v>
      </c>
      <c r="G777" t="s">
        <v>59</v>
      </c>
      <c r="H777" t="s">
        <v>42</v>
      </c>
      <c r="I777" s="2">
        <v>44659</v>
      </c>
      <c r="J777" t="s">
        <v>889</v>
      </c>
      <c r="K777" t="s">
        <v>44</v>
      </c>
      <c r="L777" t="s">
        <v>45</v>
      </c>
      <c r="M777" t="s">
        <v>189</v>
      </c>
      <c r="N777" t="str">
        <f t="shared" si="25"/>
        <v>April</v>
      </c>
    </row>
    <row r="778" spans="1:14" x14ac:dyDescent="0.3">
      <c r="A778" t="s">
        <v>890</v>
      </c>
      <c r="B778" s="1">
        <v>3957</v>
      </c>
      <c r="C778" s="1">
        <f t="shared" si="24"/>
        <v>3806</v>
      </c>
      <c r="D778">
        <v>151</v>
      </c>
      <c r="E778">
        <v>10</v>
      </c>
      <c r="F778" t="s">
        <v>32</v>
      </c>
      <c r="G778" t="s">
        <v>80</v>
      </c>
      <c r="H778" t="s">
        <v>42</v>
      </c>
      <c r="I778" s="2">
        <v>44681</v>
      </c>
      <c r="J778" t="s">
        <v>891</v>
      </c>
      <c r="K778" t="s">
        <v>73</v>
      </c>
      <c r="L778" t="s">
        <v>88</v>
      </c>
      <c r="M778" t="s">
        <v>189</v>
      </c>
      <c r="N778" t="str">
        <f t="shared" si="25"/>
        <v>April</v>
      </c>
    </row>
    <row r="779" spans="1:14" x14ac:dyDescent="0.3">
      <c r="A779" t="s">
        <v>892</v>
      </c>
      <c r="B779" s="1">
        <v>8769</v>
      </c>
      <c r="C779" s="1">
        <f t="shared" si="24"/>
        <v>5591</v>
      </c>
      <c r="D779">
        <v>3178</v>
      </c>
      <c r="E779">
        <v>16</v>
      </c>
      <c r="F779" t="s">
        <v>32</v>
      </c>
      <c r="G779" t="s">
        <v>59</v>
      </c>
      <c r="H779" t="s">
        <v>34</v>
      </c>
      <c r="I779" s="2">
        <v>44946</v>
      </c>
      <c r="J779" t="s">
        <v>893</v>
      </c>
      <c r="K779" t="s">
        <v>23</v>
      </c>
      <c r="L779" t="s">
        <v>24</v>
      </c>
      <c r="M779" t="s">
        <v>335</v>
      </c>
      <c r="N779" t="str">
        <f t="shared" si="25"/>
        <v>January</v>
      </c>
    </row>
    <row r="780" spans="1:14" x14ac:dyDescent="0.3">
      <c r="A780" t="s">
        <v>894</v>
      </c>
      <c r="B780" s="1">
        <v>2957</v>
      </c>
      <c r="C780" s="1">
        <f t="shared" si="24"/>
        <v>2040</v>
      </c>
      <c r="D780">
        <v>917</v>
      </c>
      <c r="E780">
        <v>16</v>
      </c>
      <c r="F780" t="s">
        <v>32</v>
      </c>
      <c r="G780" t="s">
        <v>33</v>
      </c>
      <c r="H780" t="s">
        <v>34</v>
      </c>
      <c r="I780" s="2">
        <v>45613</v>
      </c>
      <c r="J780" t="s">
        <v>895</v>
      </c>
      <c r="K780" t="s">
        <v>23</v>
      </c>
      <c r="L780" t="s">
        <v>24</v>
      </c>
      <c r="M780" t="s">
        <v>257</v>
      </c>
      <c r="N780" t="str">
        <f t="shared" si="25"/>
        <v>November</v>
      </c>
    </row>
    <row r="781" spans="1:14" x14ac:dyDescent="0.3">
      <c r="A781" t="s">
        <v>896</v>
      </c>
      <c r="B781" s="1">
        <v>5344</v>
      </c>
      <c r="C781" s="1">
        <f t="shared" si="24"/>
        <v>2737</v>
      </c>
      <c r="D781">
        <v>2607</v>
      </c>
      <c r="E781">
        <v>6</v>
      </c>
      <c r="F781" t="s">
        <v>32</v>
      </c>
      <c r="G781" t="s">
        <v>66</v>
      </c>
      <c r="H781" t="s">
        <v>34</v>
      </c>
      <c r="I781" s="2">
        <v>44674</v>
      </c>
      <c r="J781" t="s">
        <v>897</v>
      </c>
      <c r="K781" t="s">
        <v>73</v>
      </c>
      <c r="L781" t="s">
        <v>74</v>
      </c>
      <c r="M781" t="s">
        <v>189</v>
      </c>
      <c r="N781" t="str">
        <f t="shared" si="25"/>
        <v>April</v>
      </c>
    </row>
    <row r="782" spans="1:14" x14ac:dyDescent="0.3">
      <c r="A782" t="s">
        <v>896</v>
      </c>
      <c r="B782" s="1">
        <v>5344</v>
      </c>
      <c r="C782" s="1">
        <f t="shared" si="24"/>
        <v>2737</v>
      </c>
      <c r="D782">
        <v>2607</v>
      </c>
      <c r="E782">
        <v>6</v>
      </c>
      <c r="F782" t="s">
        <v>32</v>
      </c>
      <c r="G782" t="s">
        <v>66</v>
      </c>
      <c r="H782" t="s">
        <v>34</v>
      </c>
      <c r="I782" s="2">
        <v>45706</v>
      </c>
      <c r="J782" t="s">
        <v>898</v>
      </c>
      <c r="K782" t="s">
        <v>27</v>
      </c>
      <c r="L782" t="s">
        <v>70</v>
      </c>
      <c r="M782" t="s">
        <v>75</v>
      </c>
      <c r="N782" t="str">
        <f t="shared" si="25"/>
        <v>February</v>
      </c>
    </row>
    <row r="783" spans="1:14" x14ac:dyDescent="0.3">
      <c r="A783" t="s">
        <v>899</v>
      </c>
      <c r="B783" s="1">
        <v>6061</v>
      </c>
      <c r="C783" s="1">
        <f t="shared" si="24"/>
        <v>3940</v>
      </c>
      <c r="D783">
        <v>2121</v>
      </c>
      <c r="E783">
        <v>19</v>
      </c>
      <c r="F783" t="s">
        <v>15</v>
      </c>
      <c r="G783" t="s">
        <v>41</v>
      </c>
      <c r="H783" t="s">
        <v>42</v>
      </c>
      <c r="I783" s="2">
        <v>44343</v>
      </c>
      <c r="J783" t="s">
        <v>900</v>
      </c>
      <c r="K783" t="s">
        <v>100</v>
      </c>
      <c r="L783" t="s">
        <v>119</v>
      </c>
      <c r="M783" t="s">
        <v>110</v>
      </c>
      <c r="N783" t="str">
        <f t="shared" si="25"/>
        <v>May</v>
      </c>
    </row>
    <row r="784" spans="1:14" x14ac:dyDescent="0.3">
      <c r="A784" t="s">
        <v>899</v>
      </c>
      <c r="B784" s="1">
        <v>6061</v>
      </c>
      <c r="C784" s="1">
        <f t="shared" si="24"/>
        <v>3940</v>
      </c>
      <c r="D784">
        <v>2121</v>
      </c>
      <c r="E784">
        <v>19</v>
      </c>
      <c r="F784" t="s">
        <v>15</v>
      </c>
      <c r="G784" t="s">
        <v>41</v>
      </c>
      <c r="H784" t="s">
        <v>42</v>
      </c>
      <c r="I784" s="2">
        <v>44578</v>
      </c>
      <c r="J784" t="s">
        <v>901</v>
      </c>
      <c r="K784" t="s">
        <v>44</v>
      </c>
      <c r="L784" t="s">
        <v>77</v>
      </c>
      <c r="M784" t="s">
        <v>89</v>
      </c>
      <c r="N784" t="str">
        <f t="shared" si="25"/>
        <v>January</v>
      </c>
    </row>
    <row r="785" spans="1:14" x14ac:dyDescent="0.3">
      <c r="A785" t="s">
        <v>902</v>
      </c>
      <c r="B785" s="1">
        <v>5376</v>
      </c>
      <c r="C785" s="1">
        <f t="shared" si="24"/>
        <v>3448</v>
      </c>
      <c r="D785">
        <v>1928</v>
      </c>
      <c r="E785">
        <v>7</v>
      </c>
      <c r="F785" t="s">
        <v>47</v>
      </c>
      <c r="G785" t="s">
        <v>48</v>
      </c>
      <c r="H785" t="s">
        <v>49</v>
      </c>
      <c r="I785" s="2">
        <v>45672</v>
      </c>
      <c r="J785" t="s">
        <v>903</v>
      </c>
      <c r="K785" t="s">
        <v>27</v>
      </c>
      <c r="L785" t="s">
        <v>53</v>
      </c>
      <c r="M785" t="s">
        <v>310</v>
      </c>
      <c r="N785" t="str">
        <f t="shared" si="25"/>
        <v>January</v>
      </c>
    </row>
    <row r="786" spans="1:14" x14ac:dyDescent="0.3">
      <c r="A786" t="s">
        <v>904</v>
      </c>
      <c r="B786" s="1">
        <v>2792</v>
      </c>
      <c r="C786" s="1">
        <f t="shared" si="24"/>
        <v>1784</v>
      </c>
      <c r="D786">
        <v>1008</v>
      </c>
      <c r="E786">
        <v>8</v>
      </c>
      <c r="F786" t="s">
        <v>15</v>
      </c>
      <c r="G786" t="s">
        <v>30</v>
      </c>
      <c r="H786" t="s">
        <v>67</v>
      </c>
      <c r="I786" s="2">
        <v>44241</v>
      </c>
      <c r="J786" t="s">
        <v>905</v>
      </c>
      <c r="K786" t="s">
        <v>19</v>
      </c>
      <c r="L786" t="s">
        <v>20</v>
      </c>
      <c r="M786" t="s">
        <v>294</v>
      </c>
      <c r="N786" t="str">
        <f t="shared" si="25"/>
        <v>February</v>
      </c>
    </row>
    <row r="787" spans="1:14" x14ac:dyDescent="0.3">
      <c r="A787" t="s">
        <v>906</v>
      </c>
      <c r="B787" s="1">
        <v>2944</v>
      </c>
      <c r="C787" s="1">
        <f t="shared" si="24"/>
        <v>2695</v>
      </c>
      <c r="D787">
        <v>249</v>
      </c>
      <c r="E787">
        <v>5</v>
      </c>
      <c r="F787" t="s">
        <v>32</v>
      </c>
      <c r="G787" t="s">
        <v>80</v>
      </c>
      <c r="H787" t="s">
        <v>49</v>
      </c>
      <c r="I787" s="2">
        <v>45535</v>
      </c>
      <c r="J787" t="s">
        <v>907</v>
      </c>
      <c r="K787" t="s">
        <v>100</v>
      </c>
      <c r="L787" t="s">
        <v>101</v>
      </c>
      <c r="M787" t="s">
        <v>116</v>
      </c>
      <c r="N787" t="str">
        <f t="shared" si="25"/>
        <v>August</v>
      </c>
    </row>
    <row r="788" spans="1:14" x14ac:dyDescent="0.3">
      <c r="A788" t="s">
        <v>906</v>
      </c>
      <c r="B788" s="1">
        <v>2944</v>
      </c>
      <c r="C788" s="1">
        <f t="shared" si="24"/>
        <v>2695</v>
      </c>
      <c r="D788">
        <v>249</v>
      </c>
      <c r="E788">
        <v>5</v>
      </c>
      <c r="F788" t="s">
        <v>32</v>
      </c>
      <c r="G788" t="s">
        <v>80</v>
      </c>
      <c r="H788" t="s">
        <v>49</v>
      </c>
      <c r="I788" s="2">
        <v>44921</v>
      </c>
      <c r="J788" t="s">
        <v>908</v>
      </c>
      <c r="K788" t="s">
        <v>73</v>
      </c>
      <c r="L788" t="s">
        <v>74</v>
      </c>
      <c r="M788" t="s">
        <v>154</v>
      </c>
      <c r="N788" t="str">
        <f t="shared" si="25"/>
        <v>December</v>
      </c>
    </row>
    <row r="789" spans="1:14" x14ac:dyDescent="0.3">
      <c r="A789" t="s">
        <v>909</v>
      </c>
      <c r="B789" s="1">
        <v>4220</v>
      </c>
      <c r="C789" s="1">
        <f t="shared" si="24"/>
        <v>3275</v>
      </c>
      <c r="D789">
        <v>945</v>
      </c>
      <c r="E789">
        <v>13</v>
      </c>
      <c r="F789" t="s">
        <v>32</v>
      </c>
      <c r="G789" t="s">
        <v>59</v>
      </c>
      <c r="H789" t="s">
        <v>42</v>
      </c>
      <c r="I789" s="2">
        <v>45372</v>
      </c>
      <c r="J789" t="s">
        <v>910</v>
      </c>
      <c r="K789" t="s">
        <v>23</v>
      </c>
      <c r="L789" t="s">
        <v>65</v>
      </c>
      <c r="M789" t="s">
        <v>340</v>
      </c>
      <c r="N789" t="str">
        <f t="shared" si="25"/>
        <v>March</v>
      </c>
    </row>
    <row r="790" spans="1:14" x14ac:dyDescent="0.3">
      <c r="A790" t="s">
        <v>909</v>
      </c>
      <c r="B790" s="1">
        <v>4220</v>
      </c>
      <c r="C790" s="1">
        <f t="shared" si="24"/>
        <v>3275</v>
      </c>
      <c r="D790">
        <v>945</v>
      </c>
      <c r="E790">
        <v>13</v>
      </c>
      <c r="F790" t="s">
        <v>32</v>
      </c>
      <c r="G790" t="s">
        <v>59</v>
      </c>
      <c r="H790" t="s">
        <v>42</v>
      </c>
      <c r="I790" s="2">
        <v>44180</v>
      </c>
      <c r="J790" t="s">
        <v>911</v>
      </c>
      <c r="K790" t="s">
        <v>23</v>
      </c>
      <c r="L790" t="s">
        <v>174</v>
      </c>
      <c r="M790" t="s">
        <v>289</v>
      </c>
      <c r="N790" t="str">
        <f t="shared" si="25"/>
        <v>December</v>
      </c>
    </row>
    <row r="791" spans="1:14" x14ac:dyDescent="0.3">
      <c r="A791" t="s">
        <v>912</v>
      </c>
      <c r="B791" s="1">
        <v>8526</v>
      </c>
      <c r="C791" s="1">
        <f t="shared" si="24"/>
        <v>6822</v>
      </c>
      <c r="D791">
        <v>1704</v>
      </c>
      <c r="E791">
        <v>4</v>
      </c>
      <c r="F791" t="s">
        <v>32</v>
      </c>
      <c r="G791" t="s">
        <v>80</v>
      </c>
      <c r="H791" t="s">
        <v>34</v>
      </c>
      <c r="I791" s="2">
        <v>45006</v>
      </c>
      <c r="J791" t="s">
        <v>913</v>
      </c>
      <c r="K791" t="s">
        <v>73</v>
      </c>
      <c r="L791" t="s">
        <v>88</v>
      </c>
      <c r="M791" t="s">
        <v>247</v>
      </c>
      <c r="N791" t="str">
        <f t="shared" si="25"/>
        <v>March</v>
      </c>
    </row>
    <row r="792" spans="1:14" x14ac:dyDescent="0.3">
      <c r="A792" t="s">
        <v>914</v>
      </c>
      <c r="B792" s="1">
        <v>8218</v>
      </c>
      <c r="C792" s="1">
        <f t="shared" si="24"/>
        <v>6788</v>
      </c>
      <c r="D792">
        <v>1430</v>
      </c>
      <c r="E792">
        <v>19</v>
      </c>
      <c r="F792" t="s">
        <v>47</v>
      </c>
      <c r="G792" t="s">
        <v>111</v>
      </c>
      <c r="H792" t="s">
        <v>49</v>
      </c>
      <c r="I792" s="2">
        <v>45085</v>
      </c>
      <c r="J792" t="s">
        <v>915</v>
      </c>
      <c r="K792" t="s">
        <v>44</v>
      </c>
      <c r="L792" t="s">
        <v>94</v>
      </c>
      <c r="M792" t="s">
        <v>21</v>
      </c>
      <c r="N792" t="str">
        <f t="shared" si="25"/>
        <v>June</v>
      </c>
    </row>
    <row r="793" spans="1:14" x14ac:dyDescent="0.3">
      <c r="A793" t="s">
        <v>916</v>
      </c>
      <c r="B793" s="1">
        <v>599</v>
      </c>
      <c r="C793" s="1">
        <f t="shared" si="24"/>
        <v>334</v>
      </c>
      <c r="D793">
        <v>265</v>
      </c>
      <c r="E793">
        <v>4</v>
      </c>
      <c r="F793" t="s">
        <v>15</v>
      </c>
      <c r="G793" t="s">
        <v>84</v>
      </c>
      <c r="H793" t="s">
        <v>49</v>
      </c>
      <c r="I793" s="2">
        <v>44759</v>
      </c>
      <c r="J793" t="s">
        <v>917</v>
      </c>
      <c r="K793" t="s">
        <v>27</v>
      </c>
      <c r="L793" t="s">
        <v>28</v>
      </c>
      <c r="M793" t="s">
        <v>420</v>
      </c>
      <c r="N793" t="str">
        <f t="shared" si="25"/>
        <v>July</v>
      </c>
    </row>
    <row r="794" spans="1:14" x14ac:dyDescent="0.3">
      <c r="A794" t="s">
        <v>916</v>
      </c>
      <c r="B794" s="1">
        <v>599</v>
      </c>
      <c r="C794" s="1">
        <f t="shared" si="24"/>
        <v>334</v>
      </c>
      <c r="D794">
        <v>265</v>
      </c>
      <c r="E794">
        <v>4</v>
      </c>
      <c r="F794" t="s">
        <v>15</v>
      </c>
      <c r="G794" t="s">
        <v>84</v>
      </c>
      <c r="H794" t="s">
        <v>49</v>
      </c>
      <c r="I794" s="2">
        <v>45631</v>
      </c>
      <c r="J794" t="s">
        <v>918</v>
      </c>
      <c r="K794" t="s">
        <v>27</v>
      </c>
      <c r="L794" t="s">
        <v>70</v>
      </c>
      <c r="M794" t="s">
        <v>25</v>
      </c>
      <c r="N794" t="str">
        <f t="shared" si="25"/>
        <v>December</v>
      </c>
    </row>
    <row r="795" spans="1:14" x14ac:dyDescent="0.3">
      <c r="A795" t="s">
        <v>916</v>
      </c>
      <c r="B795" s="1">
        <v>2727</v>
      </c>
      <c r="C795" s="1">
        <f t="shared" si="24"/>
        <v>2184</v>
      </c>
      <c r="D795">
        <v>543</v>
      </c>
      <c r="E795">
        <v>10</v>
      </c>
      <c r="F795" t="s">
        <v>47</v>
      </c>
      <c r="G795" t="s">
        <v>111</v>
      </c>
      <c r="H795" t="s">
        <v>49</v>
      </c>
      <c r="I795" s="2">
        <v>44759</v>
      </c>
      <c r="J795" t="s">
        <v>917</v>
      </c>
      <c r="K795" t="s">
        <v>27</v>
      </c>
      <c r="L795" t="s">
        <v>28</v>
      </c>
      <c r="M795" t="s">
        <v>420</v>
      </c>
      <c r="N795" t="str">
        <f t="shared" si="25"/>
        <v>July</v>
      </c>
    </row>
    <row r="796" spans="1:14" x14ac:dyDescent="0.3">
      <c r="A796" t="s">
        <v>916</v>
      </c>
      <c r="B796" s="1">
        <v>2727</v>
      </c>
      <c r="C796" s="1">
        <f t="shared" si="24"/>
        <v>2184</v>
      </c>
      <c r="D796">
        <v>543</v>
      </c>
      <c r="E796">
        <v>10</v>
      </c>
      <c r="F796" t="s">
        <v>47</v>
      </c>
      <c r="G796" t="s">
        <v>111</v>
      </c>
      <c r="H796" t="s">
        <v>49</v>
      </c>
      <c r="I796" s="2">
        <v>45631</v>
      </c>
      <c r="J796" t="s">
        <v>918</v>
      </c>
      <c r="K796" t="s">
        <v>27</v>
      </c>
      <c r="L796" t="s">
        <v>70</v>
      </c>
      <c r="M796" t="s">
        <v>25</v>
      </c>
      <c r="N796" t="str">
        <f t="shared" si="25"/>
        <v>December</v>
      </c>
    </row>
    <row r="797" spans="1:14" x14ac:dyDescent="0.3">
      <c r="A797" t="s">
        <v>919</v>
      </c>
      <c r="B797" s="1">
        <v>2589</v>
      </c>
      <c r="C797" s="1">
        <f t="shared" si="24"/>
        <v>1984</v>
      </c>
      <c r="D797">
        <v>605</v>
      </c>
      <c r="E797">
        <v>11</v>
      </c>
      <c r="F797" t="s">
        <v>32</v>
      </c>
      <c r="G797" t="s">
        <v>33</v>
      </c>
      <c r="H797" t="s">
        <v>42</v>
      </c>
      <c r="I797" s="2">
        <v>45232</v>
      </c>
      <c r="J797" t="s">
        <v>920</v>
      </c>
      <c r="K797" t="s">
        <v>44</v>
      </c>
      <c r="L797" t="s">
        <v>94</v>
      </c>
      <c r="M797" t="s">
        <v>54</v>
      </c>
      <c r="N797" t="str">
        <f t="shared" si="25"/>
        <v>November</v>
      </c>
    </row>
    <row r="798" spans="1:14" x14ac:dyDescent="0.3">
      <c r="A798" t="s">
        <v>919</v>
      </c>
      <c r="B798" s="1">
        <v>2589</v>
      </c>
      <c r="C798" s="1">
        <f t="shared" si="24"/>
        <v>1984</v>
      </c>
      <c r="D798">
        <v>605</v>
      </c>
      <c r="E798">
        <v>11</v>
      </c>
      <c r="F798" t="s">
        <v>32</v>
      </c>
      <c r="G798" t="s">
        <v>33</v>
      </c>
      <c r="H798" t="s">
        <v>42</v>
      </c>
      <c r="I798" s="2">
        <v>45570</v>
      </c>
      <c r="J798" t="s">
        <v>921</v>
      </c>
      <c r="K798" t="s">
        <v>100</v>
      </c>
      <c r="L798" t="s">
        <v>119</v>
      </c>
      <c r="M798" t="s">
        <v>362</v>
      </c>
      <c r="N798" t="str">
        <f t="shared" si="25"/>
        <v>October</v>
      </c>
    </row>
    <row r="799" spans="1:14" x14ac:dyDescent="0.3">
      <c r="A799" t="s">
        <v>922</v>
      </c>
      <c r="B799" s="1">
        <v>3776</v>
      </c>
      <c r="C799" s="1">
        <f t="shared" si="24"/>
        <v>2676</v>
      </c>
      <c r="D799">
        <v>1100</v>
      </c>
      <c r="E799">
        <v>9</v>
      </c>
      <c r="F799" t="s">
        <v>15</v>
      </c>
      <c r="G799" t="s">
        <v>16</v>
      </c>
      <c r="H799" t="s">
        <v>42</v>
      </c>
      <c r="I799" s="2">
        <v>44878</v>
      </c>
      <c r="J799" t="s">
        <v>923</v>
      </c>
      <c r="K799" t="s">
        <v>73</v>
      </c>
      <c r="L799" t="s">
        <v>88</v>
      </c>
      <c r="M799" t="s">
        <v>46</v>
      </c>
      <c r="N799" t="str">
        <f t="shared" si="25"/>
        <v>November</v>
      </c>
    </row>
    <row r="800" spans="1:14" x14ac:dyDescent="0.3">
      <c r="A800" t="s">
        <v>922</v>
      </c>
      <c r="B800" s="1">
        <v>3776</v>
      </c>
      <c r="C800" s="1">
        <f t="shared" si="24"/>
        <v>2676</v>
      </c>
      <c r="D800">
        <v>1100</v>
      </c>
      <c r="E800">
        <v>9</v>
      </c>
      <c r="F800" t="s">
        <v>15</v>
      </c>
      <c r="G800" t="s">
        <v>16</v>
      </c>
      <c r="H800" t="s">
        <v>42</v>
      </c>
      <c r="I800" s="2">
        <v>44923</v>
      </c>
      <c r="J800" t="s">
        <v>924</v>
      </c>
      <c r="K800" t="s">
        <v>23</v>
      </c>
      <c r="L800" t="s">
        <v>174</v>
      </c>
      <c r="M800" t="s">
        <v>154</v>
      </c>
      <c r="N800" t="str">
        <f t="shared" si="25"/>
        <v>December</v>
      </c>
    </row>
    <row r="801" spans="1:14" x14ac:dyDescent="0.3">
      <c r="A801" t="s">
        <v>925</v>
      </c>
      <c r="B801" s="1">
        <v>5402</v>
      </c>
      <c r="C801" s="1">
        <f t="shared" si="24"/>
        <v>3736</v>
      </c>
      <c r="D801">
        <v>1666</v>
      </c>
      <c r="E801">
        <v>12</v>
      </c>
      <c r="F801" t="s">
        <v>47</v>
      </c>
      <c r="G801" t="s">
        <v>111</v>
      </c>
      <c r="H801" t="s">
        <v>42</v>
      </c>
      <c r="I801" s="2">
        <v>45714</v>
      </c>
      <c r="J801" t="s">
        <v>926</v>
      </c>
      <c r="K801" t="s">
        <v>100</v>
      </c>
      <c r="L801" t="s">
        <v>119</v>
      </c>
      <c r="M801" t="s">
        <v>75</v>
      </c>
      <c r="N801" t="str">
        <f t="shared" si="25"/>
        <v>February</v>
      </c>
    </row>
    <row r="802" spans="1:14" x14ac:dyDescent="0.3">
      <c r="A802" t="s">
        <v>927</v>
      </c>
      <c r="B802" s="1">
        <v>5165</v>
      </c>
      <c r="C802" s="1">
        <f t="shared" si="24"/>
        <v>4280</v>
      </c>
      <c r="D802">
        <v>885</v>
      </c>
      <c r="E802">
        <v>16</v>
      </c>
      <c r="F802" t="s">
        <v>32</v>
      </c>
      <c r="G802" t="s">
        <v>33</v>
      </c>
      <c r="H802" t="s">
        <v>42</v>
      </c>
      <c r="I802" s="2">
        <v>44877</v>
      </c>
      <c r="J802" t="s">
        <v>928</v>
      </c>
      <c r="K802" t="s">
        <v>23</v>
      </c>
      <c r="L802" t="s">
        <v>174</v>
      </c>
      <c r="M802" t="s">
        <v>46</v>
      </c>
      <c r="N802" t="str">
        <f t="shared" si="25"/>
        <v>November</v>
      </c>
    </row>
    <row r="803" spans="1:14" x14ac:dyDescent="0.3">
      <c r="A803" t="s">
        <v>927</v>
      </c>
      <c r="B803" s="1">
        <v>4863</v>
      </c>
      <c r="C803" s="1">
        <f t="shared" si="24"/>
        <v>2469</v>
      </c>
      <c r="D803">
        <v>2394</v>
      </c>
      <c r="E803">
        <v>4</v>
      </c>
      <c r="F803" t="s">
        <v>47</v>
      </c>
      <c r="G803" t="s">
        <v>111</v>
      </c>
      <c r="H803" t="s">
        <v>42</v>
      </c>
      <c r="I803" s="2">
        <v>44877</v>
      </c>
      <c r="J803" t="s">
        <v>928</v>
      </c>
      <c r="K803" t="s">
        <v>23</v>
      </c>
      <c r="L803" t="s">
        <v>174</v>
      </c>
      <c r="M803" t="s">
        <v>46</v>
      </c>
      <c r="N803" t="str">
        <f t="shared" si="25"/>
        <v>November</v>
      </c>
    </row>
    <row r="804" spans="1:14" x14ac:dyDescent="0.3">
      <c r="A804" t="s">
        <v>929</v>
      </c>
      <c r="B804" s="1">
        <v>1626</v>
      </c>
      <c r="C804" s="1">
        <f t="shared" si="24"/>
        <v>1368</v>
      </c>
      <c r="D804">
        <v>258</v>
      </c>
      <c r="E804">
        <v>15</v>
      </c>
      <c r="F804" t="s">
        <v>32</v>
      </c>
      <c r="G804" t="s">
        <v>33</v>
      </c>
      <c r="H804" t="s">
        <v>42</v>
      </c>
      <c r="I804" s="2">
        <v>44354</v>
      </c>
      <c r="J804" t="s">
        <v>930</v>
      </c>
      <c r="K804" t="s">
        <v>19</v>
      </c>
      <c r="L804" t="s">
        <v>36</v>
      </c>
      <c r="M804" t="s">
        <v>127</v>
      </c>
      <c r="N804" t="str">
        <f t="shared" si="25"/>
        <v>June</v>
      </c>
    </row>
    <row r="805" spans="1:14" x14ac:dyDescent="0.3">
      <c r="A805" t="s">
        <v>931</v>
      </c>
      <c r="B805" s="1">
        <v>8851</v>
      </c>
      <c r="C805" s="1">
        <f t="shared" si="24"/>
        <v>4889</v>
      </c>
      <c r="D805">
        <v>3962</v>
      </c>
      <c r="E805">
        <v>7</v>
      </c>
      <c r="F805" t="s">
        <v>47</v>
      </c>
      <c r="G805" t="s">
        <v>48</v>
      </c>
      <c r="H805" t="s">
        <v>42</v>
      </c>
      <c r="I805" s="2">
        <v>44100</v>
      </c>
      <c r="J805" t="s">
        <v>932</v>
      </c>
      <c r="K805" t="s">
        <v>19</v>
      </c>
      <c r="L805" t="s">
        <v>20</v>
      </c>
      <c r="M805" t="s">
        <v>391</v>
      </c>
      <c r="N805" t="str">
        <f t="shared" si="25"/>
        <v>September</v>
      </c>
    </row>
    <row r="806" spans="1:14" x14ac:dyDescent="0.3">
      <c r="A806" t="s">
        <v>933</v>
      </c>
      <c r="B806" s="1">
        <v>9680</v>
      </c>
      <c r="C806" s="1">
        <f t="shared" si="24"/>
        <v>6385</v>
      </c>
      <c r="D806">
        <v>3295</v>
      </c>
      <c r="E806">
        <v>9</v>
      </c>
      <c r="F806" t="s">
        <v>47</v>
      </c>
      <c r="G806" t="s">
        <v>48</v>
      </c>
      <c r="H806" t="s">
        <v>67</v>
      </c>
      <c r="I806" s="2">
        <v>45411</v>
      </c>
      <c r="J806" t="s">
        <v>934</v>
      </c>
      <c r="K806" t="s">
        <v>27</v>
      </c>
      <c r="L806" t="s">
        <v>70</v>
      </c>
      <c r="M806" t="s">
        <v>237</v>
      </c>
      <c r="N806" t="str">
        <f t="shared" si="25"/>
        <v>April</v>
      </c>
    </row>
    <row r="807" spans="1:14" x14ac:dyDescent="0.3">
      <c r="A807" t="s">
        <v>933</v>
      </c>
      <c r="B807" s="1">
        <v>8468</v>
      </c>
      <c r="C807" s="1">
        <f t="shared" si="24"/>
        <v>4802</v>
      </c>
      <c r="D807">
        <v>3666</v>
      </c>
      <c r="E807">
        <v>8</v>
      </c>
      <c r="F807" t="s">
        <v>32</v>
      </c>
      <c r="G807" t="s">
        <v>33</v>
      </c>
      <c r="H807" t="s">
        <v>17</v>
      </c>
      <c r="I807" s="2">
        <v>45411</v>
      </c>
      <c r="J807" t="s">
        <v>934</v>
      </c>
      <c r="K807" t="s">
        <v>27</v>
      </c>
      <c r="L807" t="s">
        <v>70</v>
      </c>
      <c r="M807" t="s">
        <v>237</v>
      </c>
      <c r="N807" t="str">
        <f t="shared" si="25"/>
        <v>April</v>
      </c>
    </row>
    <row r="808" spans="1:14" x14ac:dyDescent="0.3">
      <c r="A808" t="s">
        <v>933</v>
      </c>
      <c r="B808" s="1">
        <v>4441</v>
      </c>
      <c r="C808" s="1">
        <f t="shared" si="24"/>
        <v>4127</v>
      </c>
      <c r="D808">
        <v>314</v>
      </c>
      <c r="E808">
        <v>14</v>
      </c>
      <c r="F808" t="s">
        <v>47</v>
      </c>
      <c r="G808" t="s">
        <v>51</v>
      </c>
      <c r="H808" t="s">
        <v>34</v>
      </c>
      <c r="I808" s="2">
        <v>45411</v>
      </c>
      <c r="J808" t="s">
        <v>934</v>
      </c>
      <c r="K808" t="s">
        <v>27</v>
      </c>
      <c r="L808" t="s">
        <v>70</v>
      </c>
      <c r="M808" t="s">
        <v>237</v>
      </c>
      <c r="N808" t="str">
        <f t="shared" si="25"/>
        <v>April</v>
      </c>
    </row>
    <row r="809" spans="1:14" x14ac:dyDescent="0.3">
      <c r="A809" t="s">
        <v>935</v>
      </c>
      <c r="B809" s="1">
        <v>6622</v>
      </c>
      <c r="C809" s="1">
        <f t="shared" si="24"/>
        <v>3949</v>
      </c>
      <c r="D809">
        <v>2673</v>
      </c>
      <c r="E809">
        <v>8</v>
      </c>
      <c r="F809" t="s">
        <v>47</v>
      </c>
      <c r="G809" t="s">
        <v>62</v>
      </c>
      <c r="H809" t="s">
        <v>67</v>
      </c>
      <c r="I809" s="2">
        <v>45392</v>
      </c>
      <c r="J809" t="s">
        <v>936</v>
      </c>
      <c r="K809" t="s">
        <v>27</v>
      </c>
      <c r="L809" t="s">
        <v>53</v>
      </c>
      <c r="M809" t="s">
        <v>237</v>
      </c>
      <c r="N809" t="str">
        <f t="shared" si="25"/>
        <v>April</v>
      </c>
    </row>
    <row r="810" spans="1:14" x14ac:dyDescent="0.3">
      <c r="A810" t="s">
        <v>937</v>
      </c>
      <c r="B810" s="1">
        <v>3260</v>
      </c>
      <c r="C810" s="1">
        <f t="shared" si="24"/>
        <v>3053</v>
      </c>
      <c r="D810">
        <v>207</v>
      </c>
      <c r="E810">
        <v>17</v>
      </c>
      <c r="F810" t="s">
        <v>47</v>
      </c>
      <c r="G810" t="s">
        <v>48</v>
      </c>
      <c r="H810" t="s">
        <v>17</v>
      </c>
      <c r="I810" s="2">
        <v>45281</v>
      </c>
      <c r="J810" t="s">
        <v>938</v>
      </c>
      <c r="K810" t="s">
        <v>44</v>
      </c>
      <c r="L810" t="s">
        <v>77</v>
      </c>
      <c r="M810" t="s">
        <v>104</v>
      </c>
      <c r="N810" t="str">
        <f t="shared" si="25"/>
        <v>December</v>
      </c>
    </row>
    <row r="811" spans="1:14" x14ac:dyDescent="0.3">
      <c r="A811" t="s">
        <v>939</v>
      </c>
      <c r="B811" s="1">
        <v>8709</v>
      </c>
      <c r="C811" s="1">
        <f t="shared" si="24"/>
        <v>6387</v>
      </c>
      <c r="D811">
        <v>2322</v>
      </c>
      <c r="E811">
        <v>8</v>
      </c>
      <c r="F811" t="s">
        <v>47</v>
      </c>
      <c r="G811" t="s">
        <v>48</v>
      </c>
      <c r="H811" t="s">
        <v>34</v>
      </c>
      <c r="I811" s="2">
        <v>45414</v>
      </c>
      <c r="J811" t="s">
        <v>940</v>
      </c>
      <c r="K811" t="s">
        <v>73</v>
      </c>
      <c r="L811" t="s">
        <v>88</v>
      </c>
      <c r="M811" t="s">
        <v>37</v>
      </c>
      <c r="N811" t="str">
        <f t="shared" si="25"/>
        <v>May</v>
      </c>
    </row>
    <row r="812" spans="1:14" x14ac:dyDescent="0.3">
      <c r="A812" t="s">
        <v>939</v>
      </c>
      <c r="B812" s="1">
        <v>8709</v>
      </c>
      <c r="C812" s="1">
        <f t="shared" si="24"/>
        <v>6387</v>
      </c>
      <c r="D812">
        <v>2322</v>
      </c>
      <c r="E812">
        <v>8</v>
      </c>
      <c r="F812" t="s">
        <v>47</v>
      </c>
      <c r="G812" t="s">
        <v>48</v>
      </c>
      <c r="H812" t="s">
        <v>34</v>
      </c>
      <c r="I812" s="2">
        <v>45617</v>
      </c>
      <c r="J812" t="s">
        <v>941</v>
      </c>
      <c r="K812" t="s">
        <v>44</v>
      </c>
      <c r="L812" t="s">
        <v>94</v>
      </c>
      <c r="M812" t="s">
        <v>257</v>
      </c>
      <c r="N812" t="str">
        <f t="shared" si="25"/>
        <v>November</v>
      </c>
    </row>
    <row r="813" spans="1:14" x14ac:dyDescent="0.3">
      <c r="A813" t="s">
        <v>942</v>
      </c>
      <c r="B813" s="1">
        <v>5250</v>
      </c>
      <c r="C813" s="1">
        <f t="shared" si="24"/>
        <v>5063</v>
      </c>
      <c r="D813">
        <v>187</v>
      </c>
      <c r="E813">
        <v>1</v>
      </c>
      <c r="F813" t="s">
        <v>32</v>
      </c>
      <c r="G813" t="s">
        <v>80</v>
      </c>
      <c r="H813" t="s">
        <v>67</v>
      </c>
      <c r="I813" s="2">
        <v>44637</v>
      </c>
      <c r="J813" t="s">
        <v>943</v>
      </c>
      <c r="K813" t="s">
        <v>100</v>
      </c>
      <c r="L813" t="s">
        <v>109</v>
      </c>
      <c r="M813" t="s">
        <v>136</v>
      </c>
      <c r="N813" t="str">
        <f t="shared" si="25"/>
        <v>March</v>
      </c>
    </row>
    <row r="814" spans="1:14" x14ac:dyDescent="0.3">
      <c r="A814" t="s">
        <v>942</v>
      </c>
      <c r="B814" s="1">
        <v>5250</v>
      </c>
      <c r="C814" s="1">
        <f t="shared" si="24"/>
        <v>5063</v>
      </c>
      <c r="D814">
        <v>187</v>
      </c>
      <c r="E814">
        <v>1</v>
      </c>
      <c r="F814" t="s">
        <v>32</v>
      </c>
      <c r="G814" t="s">
        <v>80</v>
      </c>
      <c r="H814" t="s">
        <v>67</v>
      </c>
      <c r="I814" s="2">
        <v>45060</v>
      </c>
      <c r="J814" t="s">
        <v>944</v>
      </c>
      <c r="K814" t="s">
        <v>73</v>
      </c>
      <c r="L814" t="s">
        <v>140</v>
      </c>
      <c r="M814" t="s">
        <v>129</v>
      </c>
      <c r="N814" t="str">
        <f t="shared" si="25"/>
        <v>May</v>
      </c>
    </row>
    <row r="815" spans="1:14" x14ac:dyDescent="0.3">
      <c r="A815" t="s">
        <v>945</v>
      </c>
      <c r="B815" s="1">
        <v>4116</v>
      </c>
      <c r="C815" s="1">
        <f t="shared" si="24"/>
        <v>3195</v>
      </c>
      <c r="D815">
        <v>921</v>
      </c>
      <c r="E815">
        <v>20</v>
      </c>
      <c r="F815" t="s">
        <v>32</v>
      </c>
      <c r="G815" t="s">
        <v>66</v>
      </c>
      <c r="H815" t="s">
        <v>17</v>
      </c>
      <c r="I815" s="2">
        <v>45572</v>
      </c>
      <c r="J815" t="s">
        <v>946</v>
      </c>
      <c r="K815" t="s">
        <v>44</v>
      </c>
      <c r="L815" t="s">
        <v>45</v>
      </c>
      <c r="M815" t="s">
        <v>362</v>
      </c>
      <c r="N815" t="str">
        <f t="shared" si="25"/>
        <v>October</v>
      </c>
    </row>
    <row r="816" spans="1:14" x14ac:dyDescent="0.3">
      <c r="A816" t="s">
        <v>945</v>
      </c>
      <c r="B816" s="1">
        <v>4116</v>
      </c>
      <c r="C816" s="1">
        <f t="shared" si="24"/>
        <v>3195</v>
      </c>
      <c r="D816">
        <v>921</v>
      </c>
      <c r="E816">
        <v>20</v>
      </c>
      <c r="F816" t="s">
        <v>32</v>
      </c>
      <c r="G816" t="s">
        <v>66</v>
      </c>
      <c r="H816" t="s">
        <v>17</v>
      </c>
      <c r="I816" s="2">
        <v>44082</v>
      </c>
      <c r="J816" t="s">
        <v>947</v>
      </c>
      <c r="K816" t="s">
        <v>23</v>
      </c>
      <c r="L816" t="s">
        <v>65</v>
      </c>
      <c r="M816" t="s">
        <v>391</v>
      </c>
      <c r="N816" t="str">
        <f t="shared" si="25"/>
        <v>September</v>
      </c>
    </row>
    <row r="817" spans="1:14" x14ac:dyDescent="0.3">
      <c r="A817" t="s">
        <v>948</v>
      </c>
      <c r="B817" s="1">
        <v>1109</v>
      </c>
      <c r="C817" s="1">
        <f t="shared" si="24"/>
        <v>691</v>
      </c>
      <c r="D817">
        <v>418</v>
      </c>
      <c r="E817">
        <v>15</v>
      </c>
      <c r="F817" t="s">
        <v>32</v>
      </c>
      <c r="G817" t="s">
        <v>66</v>
      </c>
      <c r="H817" t="s">
        <v>17</v>
      </c>
      <c r="I817" s="2">
        <v>44427</v>
      </c>
      <c r="J817" t="s">
        <v>949</v>
      </c>
      <c r="K817" t="s">
        <v>44</v>
      </c>
      <c r="L817" t="s">
        <v>45</v>
      </c>
      <c r="M817" t="s">
        <v>180</v>
      </c>
      <c r="N817" t="str">
        <f t="shared" si="25"/>
        <v>August</v>
      </c>
    </row>
    <row r="818" spans="1:14" x14ac:dyDescent="0.3">
      <c r="A818" t="s">
        <v>950</v>
      </c>
      <c r="B818" s="1">
        <v>3573</v>
      </c>
      <c r="C818" s="1">
        <f t="shared" si="24"/>
        <v>3011</v>
      </c>
      <c r="D818">
        <v>562</v>
      </c>
      <c r="E818">
        <v>7</v>
      </c>
      <c r="F818" t="s">
        <v>32</v>
      </c>
      <c r="G818" t="s">
        <v>33</v>
      </c>
      <c r="H818" t="s">
        <v>42</v>
      </c>
      <c r="I818" s="2">
        <v>44846</v>
      </c>
      <c r="J818" t="s">
        <v>456</v>
      </c>
      <c r="K818" t="s">
        <v>27</v>
      </c>
      <c r="L818" t="s">
        <v>70</v>
      </c>
      <c r="M818" t="s">
        <v>98</v>
      </c>
      <c r="N818" t="str">
        <f t="shared" si="25"/>
        <v>October</v>
      </c>
    </row>
    <row r="819" spans="1:14" x14ac:dyDescent="0.3">
      <c r="A819" t="s">
        <v>950</v>
      </c>
      <c r="B819" s="1">
        <v>3573</v>
      </c>
      <c r="C819" s="1">
        <f t="shared" si="24"/>
        <v>3011</v>
      </c>
      <c r="D819">
        <v>562</v>
      </c>
      <c r="E819">
        <v>7</v>
      </c>
      <c r="F819" t="s">
        <v>32</v>
      </c>
      <c r="G819" t="s">
        <v>33</v>
      </c>
      <c r="H819" t="s">
        <v>42</v>
      </c>
      <c r="I819" s="2">
        <v>43974</v>
      </c>
      <c r="J819" t="s">
        <v>951</v>
      </c>
      <c r="K819" t="s">
        <v>44</v>
      </c>
      <c r="L819" t="s">
        <v>77</v>
      </c>
      <c r="M819" t="s">
        <v>61</v>
      </c>
      <c r="N819" t="str">
        <f t="shared" si="25"/>
        <v>May</v>
      </c>
    </row>
    <row r="820" spans="1:14" x14ac:dyDescent="0.3">
      <c r="A820" t="s">
        <v>950</v>
      </c>
      <c r="B820" s="1">
        <v>3573</v>
      </c>
      <c r="C820" s="1">
        <f t="shared" si="24"/>
        <v>3011</v>
      </c>
      <c r="D820">
        <v>562</v>
      </c>
      <c r="E820">
        <v>7</v>
      </c>
      <c r="F820" t="s">
        <v>32</v>
      </c>
      <c r="G820" t="s">
        <v>33</v>
      </c>
      <c r="H820" t="s">
        <v>42</v>
      </c>
      <c r="I820" s="2">
        <v>43939</v>
      </c>
      <c r="J820" t="s">
        <v>952</v>
      </c>
      <c r="K820" t="s">
        <v>19</v>
      </c>
      <c r="L820" t="s">
        <v>152</v>
      </c>
      <c r="M820" t="s">
        <v>164</v>
      </c>
      <c r="N820" t="str">
        <f t="shared" si="25"/>
        <v>April</v>
      </c>
    </row>
    <row r="821" spans="1:14" x14ac:dyDescent="0.3">
      <c r="A821" t="s">
        <v>950</v>
      </c>
      <c r="B821" s="1">
        <v>8055</v>
      </c>
      <c r="C821" s="1">
        <f t="shared" si="24"/>
        <v>7394</v>
      </c>
      <c r="D821">
        <v>661</v>
      </c>
      <c r="E821">
        <v>10</v>
      </c>
      <c r="F821" t="s">
        <v>15</v>
      </c>
      <c r="G821" t="s">
        <v>84</v>
      </c>
      <c r="H821" t="s">
        <v>42</v>
      </c>
      <c r="I821" s="2">
        <v>44846</v>
      </c>
      <c r="J821" t="s">
        <v>456</v>
      </c>
      <c r="K821" t="s">
        <v>27</v>
      </c>
      <c r="L821" t="s">
        <v>70</v>
      </c>
      <c r="M821" t="s">
        <v>98</v>
      </c>
      <c r="N821" t="str">
        <f t="shared" si="25"/>
        <v>October</v>
      </c>
    </row>
    <row r="822" spans="1:14" x14ac:dyDescent="0.3">
      <c r="A822" t="s">
        <v>950</v>
      </c>
      <c r="B822" s="1">
        <v>8055</v>
      </c>
      <c r="C822" s="1">
        <f t="shared" si="24"/>
        <v>7394</v>
      </c>
      <c r="D822">
        <v>661</v>
      </c>
      <c r="E822">
        <v>10</v>
      </c>
      <c r="F822" t="s">
        <v>15</v>
      </c>
      <c r="G822" t="s">
        <v>84</v>
      </c>
      <c r="H822" t="s">
        <v>42</v>
      </c>
      <c r="I822" s="2">
        <v>43974</v>
      </c>
      <c r="J822" t="s">
        <v>951</v>
      </c>
      <c r="K822" t="s">
        <v>44</v>
      </c>
      <c r="L822" t="s">
        <v>77</v>
      </c>
      <c r="M822" t="s">
        <v>61</v>
      </c>
      <c r="N822" t="str">
        <f t="shared" si="25"/>
        <v>May</v>
      </c>
    </row>
    <row r="823" spans="1:14" x14ac:dyDescent="0.3">
      <c r="A823" t="s">
        <v>950</v>
      </c>
      <c r="B823" s="1">
        <v>8055</v>
      </c>
      <c r="C823" s="1">
        <f t="shared" si="24"/>
        <v>7394</v>
      </c>
      <c r="D823">
        <v>661</v>
      </c>
      <c r="E823">
        <v>10</v>
      </c>
      <c r="F823" t="s">
        <v>15</v>
      </c>
      <c r="G823" t="s">
        <v>84</v>
      </c>
      <c r="H823" t="s">
        <v>42</v>
      </c>
      <c r="I823" s="2">
        <v>43939</v>
      </c>
      <c r="J823" t="s">
        <v>952</v>
      </c>
      <c r="K823" t="s">
        <v>19</v>
      </c>
      <c r="L823" t="s">
        <v>152</v>
      </c>
      <c r="M823" t="s">
        <v>164</v>
      </c>
      <c r="N823" t="str">
        <f t="shared" si="25"/>
        <v>April</v>
      </c>
    </row>
    <row r="824" spans="1:14" x14ac:dyDescent="0.3">
      <c r="A824" t="s">
        <v>953</v>
      </c>
      <c r="B824" s="1">
        <v>6829</v>
      </c>
      <c r="C824" s="1">
        <f t="shared" si="24"/>
        <v>4220</v>
      </c>
      <c r="D824">
        <v>2609</v>
      </c>
      <c r="E824">
        <v>2</v>
      </c>
      <c r="F824" t="s">
        <v>15</v>
      </c>
      <c r="G824" t="s">
        <v>41</v>
      </c>
      <c r="H824" t="s">
        <v>42</v>
      </c>
      <c r="I824" s="2">
        <v>44716</v>
      </c>
      <c r="J824" t="s">
        <v>954</v>
      </c>
      <c r="K824" t="s">
        <v>44</v>
      </c>
      <c r="L824" t="s">
        <v>94</v>
      </c>
      <c r="M824" t="s">
        <v>167</v>
      </c>
      <c r="N824" t="str">
        <f t="shared" si="25"/>
        <v>June</v>
      </c>
    </row>
    <row r="825" spans="1:14" x14ac:dyDescent="0.3">
      <c r="A825" t="s">
        <v>953</v>
      </c>
      <c r="B825" s="1">
        <v>6390</v>
      </c>
      <c r="C825" s="1">
        <f t="shared" si="24"/>
        <v>3301</v>
      </c>
      <c r="D825">
        <v>3089</v>
      </c>
      <c r="E825">
        <v>12</v>
      </c>
      <c r="F825" t="s">
        <v>32</v>
      </c>
      <c r="G825" t="s">
        <v>66</v>
      </c>
      <c r="H825" t="s">
        <v>67</v>
      </c>
      <c r="I825" s="2">
        <v>44716</v>
      </c>
      <c r="J825" t="s">
        <v>954</v>
      </c>
      <c r="K825" t="s">
        <v>44</v>
      </c>
      <c r="L825" t="s">
        <v>94</v>
      </c>
      <c r="M825" t="s">
        <v>167</v>
      </c>
      <c r="N825" t="str">
        <f t="shared" si="25"/>
        <v>June</v>
      </c>
    </row>
    <row r="826" spans="1:14" x14ac:dyDescent="0.3">
      <c r="A826" t="s">
        <v>955</v>
      </c>
      <c r="B826" s="1">
        <v>5831</v>
      </c>
      <c r="C826" s="1">
        <f t="shared" si="24"/>
        <v>4257</v>
      </c>
      <c r="D826">
        <v>1574</v>
      </c>
      <c r="E826">
        <v>17</v>
      </c>
      <c r="F826" t="s">
        <v>32</v>
      </c>
      <c r="G826" t="s">
        <v>33</v>
      </c>
      <c r="H826" t="s">
        <v>34</v>
      </c>
      <c r="I826" s="2">
        <v>44881</v>
      </c>
      <c r="J826" t="s">
        <v>956</v>
      </c>
      <c r="K826" t="s">
        <v>44</v>
      </c>
      <c r="L826" t="s">
        <v>94</v>
      </c>
      <c r="M826" t="s">
        <v>46</v>
      </c>
      <c r="N826" t="str">
        <f t="shared" si="25"/>
        <v>November</v>
      </c>
    </row>
    <row r="827" spans="1:14" x14ac:dyDescent="0.3">
      <c r="A827" t="s">
        <v>955</v>
      </c>
      <c r="B827" s="1">
        <v>5831</v>
      </c>
      <c r="C827" s="1">
        <f t="shared" si="24"/>
        <v>4257</v>
      </c>
      <c r="D827">
        <v>1574</v>
      </c>
      <c r="E827">
        <v>17</v>
      </c>
      <c r="F827" t="s">
        <v>32</v>
      </c>
      <c r="G827" t="s">
        <v>33</v>
      </c>
      <c r="H827" t="s">
        <v>34</v>
      </c>
      <c r="I827" s="2">
        <v>45491</v>
      </c>
      <c r="J827" t="s">
        <v>957</v>
      </c>
      <c r="K827" t="s">
        <v>44</v>
      </c>
      <c r="L827" t="s">
        <v>77</v>
      </c>
      <c r="M827" t="s">
        <v>217</v>
      </c>
      <c r="N827" t="str">
        <f t="shared" si="25"/>
        <v>July</v>
      </c>
    </row>
    <row r="828" spans="1:14" x14ac:dyDescent="0.3">
      <c r="A828" t="s">
        <v>955</v>
      </c>
      <c r="B828" s="1">
        <v>5831</v>
      </c>
      <c r="C828" s="1">
        <f t="shared" si="24"/>
        <v>4257</v>
      </c>
      <c r="D828">
        <v>1574</v>
      </c>
      <c r="E828">
        <v>17</v>
      </c>
      <c r="F828" t="s">
        <v>32</v>
      </c>
      <c r="G828" t="s">
        <v>33</v>
      </c>
      <c r="H828" t="s">
        <v>34</v>
      </c>
      <c r="I828" s="2">
        <v>45123</v>
      </c>
      <c r="J828" t="s">
        <v>958</v>
      </c>
      <c r="K828" t="s">
        <v>19</v>
      </c>
      <c r="L828" t="s">
        <v>20</v>
      </c>
      <c r="M828" t="s">
        <v>107</v>
      </c>
      <c r="N828" t="str">
        <f t="shared" si="25"/>
        <v>July</v>
      </c>
    </row>
    <row r="829" spans="1:14" x14ac:dyDescent="0.3">
      <c r="A829" t="s">
        <v>959</v>
      </c>
      <c r="B829" s="1">
        <v>7952</v>
      </c>
      <c r="C829" s="1">
        <f t="shared" si="24"/>
        <v>4087</v>
      </c>
      <c r="D829">
        <v>3865</v>
      </c>
      <c r="E829">
        <v>8</v>
      </c>
      <c r="F829" t="s">
        <v>47</v>
      </c>
      <c r="G829" t="s">
        <v>62</v>
      </c>
      <c r="H829" t="s">
        <v>34</v>
      </c>
      <c r="I829" s="2">
        <v>44053</v>
      </c>
      <c r="J829" t="s">
        <v>960</v>
      </c>
      <c r="K829" t="s">
        <v>23</v>
      </c>
      <c r="L829" t="s">
        <v>174</v>
      </c>
      <c r="M829" t="s">
        <v>187</v>
      </c>
      <c r="N829" t="str">
        <f t="shared" si="25"/>
        <v>August</v>
      </c>
    </row>
    <row r="830" spans="1:14" x14ac:dyDescent="0.3">
      <c r="A830" t="s">
        <v>961</v>
      </c>
      <c r="B830" s="1">
        <v>3659</v>
      </c>
      <c r="C830" s="1">
        <f t="shared" si="24"/>
        <v>3280</v>
      </c>
      <c r="D830">
        <v>379</v>
      </c>
      <c r="E830">
        <v>5</v>
      </c>
      <c r="F830" t="s">
        <v>47</v>
      </c>
      <c r="G830" t="s">
        <v>111</v>
      </c>
      <c r="H830" t="s">
        <v>17</v>
      </c>
      <c r="I830" s="2">
        <v>45465</v>
      </c>
      <c r="J830" t="s">
        <v>962</v>
      </c>
      <c r="K830" t="s">
        <v>44</v>
      </c>
      <c r="L830" t="s">
        <v>45</v>
      </c>
      <c r="M830" t="s">
        <v>264</v>
      </c>
      <c r="N830" t="str">
        <f t="shared" si="25"/>
        <v>June</v>
      </c>
    </row>
    <row r="831" spans="1:14" x14ac:dyDescent="0.3">
      <c r="A831" t="s">
        <v>963</v>
      </c>
      <c r="B831" s="1">
        <v>4183</v>
      </c>
      <c r="C831" s="1">
        <f t="shared" si="24"/>
        <v>3024</v>
      </c>
      <c r="D831">
        <v>1159</v>
      </c>
      <c r="E831">
        <v>4</v>
      </c>
      <c r="F831" t="s">
        <v>32</v>
      </c>
      <c r="G831" t="s">
        <v>33</v>
      </c>
      <c r="H831" t="s">
        <v>34</v>
      </c>
      <c r="I831" s="2">
        <v>44025</v>
      </c>
      <c r="J831" t="s">
        <v>964</v>
      </c>
      <c r="K831" t="s">
        <v>23</v>
      </c>
      <c r="L831" t="s">
        <v>65</v>
      </c>
      <c r="M831" t="s">
        <v>464</v>
      </c>
      <c r="N831" t="str">
        <f t="shared" si="25"/>
        <v>July</v>
      </c>
    </row>
    <row r="832" spans="1:14" x14ac:dyDescent="0.3">
      <c r="A832" t="s">
        <v>965</v>
      </c>
      <c r="B832" s="1">
        <v>7478</v>
      </c>
      <c r="C832" s="1">
        <f t="shared" si="24"/>
        <v>6097</v>
      </c>
      <c r="D832">
        <v>1381</v>
      </c>
      <c r="E832">
        <v>11</v>
      </c>
      <c r="F832" t="s">
        <v>15</v>
      </c>
      <c r="G832" t="s">
        <v>84</v>
      </c>
      <c r="H832" t="s">
        <v>42</v>
      </c>
      <c r="I832" s="2">
        <v>45398</v>
      </c>
      <c r="J832" t="s">
        <v>966</v>
      </c>
      <c r="K832" t="s">
        <v>73</v>
      </c>
      <c r="L832" t="s">
        <v>140</v>
      </c>
      <c r="M832" t="s">
        <v>237</v>
      </c>
      <c r="N832" t="str">
        <f t="shared" si="25"/>
        <v>April</v>
      </c>
    </row>
    <row r="833" spans="1:14" x14ac:dyDescent="0.3">
      <c r="A833" t="s">
        <v>967</v>
      </c>
      <c r="B833" s="1">
        <v>702</v>
      </c>
      <c r="C833" s="1">
        <f t="shared" si="24"/>
        <v>464</v>
      </c>
      <c r="D833">
        <v>238</v>
      </c>
      <c r="E833">
        <v>9</v>
      </c>
      <c r="F833" t="s">
        <v>15</v>
      </c>
      <c r="G833" t="s">
        <v>84</v>
      </c>
      <c r="H833" t="s">
        <v>67</v>
      </c>
      <c r="I833" s="2">
        <v>44268</v>
      </c>
      <c r="J833" t="s">
        <v>968</v>
      </c>
      <c r="K833" t="s">
        <v>19</v>
      </c>
      <c r="L833" t="s">
        <v>152</v>
      </c>
      <c r="M833" t="s">
        <v>169</v>
      </c>
      <c r="N833" t="str">
        <f t="shared" si="25"/>
        <v>March</v>
      </c>
    </row>
    <row r="834" spans="1:14" x14ac:dyDescent="0.3">
      <c r="A834" t="s">
        <v>969</v>
      </c>
      <c r="B834" s="1">
        <v>4037</v>
      </c>
      <c r="C834" s="1">
        <f t="shared" ref="C834:C897" si="26">B834-D834</f>
        <v>2543</v>
      </c>
      <c r="D834">
        <v>1494</v>
      </c>
      <c r="E834">
        <v>15</v>
      </c>
      <c r="F834" t="s">
        <v>47</v>
      </c>
      <c r="G834" t="s">
        <v>51</v>
      </c>
      <c r="H834" t="s">
        <v>42</v>
      </c>
      <c r="I834" s="2">
        <v>45017</v>
      </c>
      <c r="J834" t="s">
        <v>970</v>
      </c>
      <c r="K834" t="s">
        <v>44</v>
      </c>
      <c r="L834" t="s">
        <v>94</v>
      </c>
      <c r="M834" t="s">
        <v>147</v>
      </c>
      <c r="N834" t="str">
        <f t="shared" si="25"/>
        <v>April</v>
      </c>
    </row>
    <row r="835" spans="1:14" x14ac:dyDescent="0.3">
      <c r="A835" t="s">
        <v>971</v>
      </c>
      <c r="B835" s="1">
        <v>5014</v>
      </c>
      <c r="C835" s="1">
        <f t="shared" si="26"/>
        <v>2682</v>
      </c>
      <c r="D835">
        <v>2332</v>
      </c>
      <c r="E835">
        <v>2</v>
      </c>
      <c r="F835" t="s">
        <v>47</v>
      </c>
      <c r="G835" t="s">
        <v>51</v>
      </c>
      <c r="H835" t="s">
        <v>67</v>
      </c>
      <c r="I835" s="2">
        <v>44145</v>
      </c>
      <c r="J835" t="s">
        <v>972</v>
      </c>
      <c r="K835" t="s">
        <v>23</v>
      </c>
      <c r="L835" t="s">
        <v>24</v>
      </c>
      <c r="M835" t="s">
        <v>82</v>
      </c>
      <c r="N835" t="str">
        <f t="shared" ref="N835:N898" si="27">TEXT(DATE(LEFT(M835,4),RIGHT(M835,2),1),"mmmm")</f>
        <v>November</v>
      </c>
    </row>
    <row r="836" spans="1:14" x14ac:dyDescent="0.3">
      <c r="A836" t="s">
        <v>973</v>
      </c>
      <c r="B836" s="1">
        <v>9879</v>
      </c>
      <c r="C836" s="1">
        <f t="shared" si="26"/>
        <v>4949</v>
      </c>
      <c r="D836">
        <v>4930</v>
      </c>
      <c r="E836">
        <v>15</v>
      </c>
      <c r="F836" t="s">
        <v>15</v>
      </c>
      <c r="G836" t="s">
        <v>41</v>
      </c>
      <c r="H836" t="s">
        <v>34</v>
      </c>
      <c r="I836" s="2">
        <v>45085</v>
      </c>
      <c r="J836" t="s">
        <v>974</v>
      </c>
      <c r="K836" t="s">
        <v>27</v>
      </c>
      <c r="L836" t="s">
        <v>70</v>
      </c>
      <c r="M836" t="s">
        <v>21</v>
      </c>
      <c r="N836" t="str">
        <f t="shared" si="27"/>
        <v>June</v>
      </c>
    </row>
    <row r="837" spans="1:14" x14ac:dyDescent="0.3">
      <c r="A837" t="s">
        <v>975</v>
      </c>
      <c r="B837" s="1">
        <v>8762</v>
      </c>
      <c r="C837" s="1">
        <f t="shared" si="26"/>
        <v>5260</v>
      </c>
      <c r="D837">
        <v>3502</v>
      </c>
      <c r="E837">
        <v>1</v>
      </c>
      <c r="F837" t="s">
        <v>15</v>
      </c>
      <c r="G837" t="s">
        <v>84</v>
      </c>
      <c r="H837" t="s">
        <v>34</v>
      </c>
      <c r="I837" s="2">
        <v>44425</v>
      </c>
      <c r="J837" t="s">
        <v>976</v>
      </c>
      <c r="K837" t="s">
        <v>19</v>
      </c>
      <c r="L837" t="s">
        <v>152</v>
      </c>
      <c r="M837" t="s">
        <v>180</v>
      </c>
      <c r="N837" t="str">
        <f t="shared" si="27"/>
        <v>August</v>
      </c>
    </row>
    <row r="838" spans="1:14" x14ac:dyDescent="0.3">
      <c r="A838" t="s">
        <v>977</v>
      </c>
      <c r="B838" s="1">
        <v>8490</v>
      </c>
      <c r="C838" s="1">
        <f t="shared" si="26"/>
        <v>7690</v>
      </c>
      <c r="D838">
        <v>800</v>
      </c>
      <c r="E838">
        <v>1</v>
      </c>
      <c r="F838" t="s">
        <v>32</v>
      </c>
      <c r="G838" t="s">
        <v>33</v>
      </c>
      <c r="H838" t="s">
        <v>42</v>
      </c>
      <c r="I838" s="2">
        <v>43975</v>
      </c>
      <c r="J838" t="s">
        <v>978</v>
      </c>
      <c r="K838" t="s">
        <v>27</v>
      </c>
      <c r="L838" t="s">
        <v>53</v>
      </c>
      <c r="M838" t="s">
        <v>61</v>
      </c>
      <c r="N838" t="str">
        <f t="shared" si="27"/>
        <v>May</v>
      </c>
    </row>
    <row r="839" spans="1:14" x14ac:dyDescent="0.3">
      <c r="A839" t="s">
        <v>979</v>
      </c>
      <c r="B839" s="1">
        <v>6951</v>
      </c>
      <c r="C839" s="1">
        <f t="shared" si="26"/>
        <v>6787</v>
      </c>
      <c r="D839">
        <v>164</v>
      </c>
      <c r="E839">
        <v>10</v>
      </c>
      <c r="F839" t="s">
        <v>47</v>
      </c>
      <c r="G839" t="s">
        <v>62</v>
      </c>
      <c r="H839" t="s">
        <v>17</v>
      </c>
      <c r="I839" s="2">
        <v>44420</v>
      </c>
      <c r="J839" t="s">
        <v>980</v>
      </c>
      <c r="K839" t="s">
        <v>27</v>
      </c>
      <c r="L839" t="s">
        <v>28</v>
      </c>
      <c r="M839" t="s">
        <v>180</v>
      </c>
      <c r="N839" t="str">
        <f t="shared" si="27"/>
        <v>August</v>
      </c>
    </row>
    <row r="840" spans="1:14" x14ac:dyDescent="0.3">
      <c r="A840" t="s">
        <v>981</v>
      </c>
      <c r="B840" s="1">
        <v>1078</v>
      </c>
      <c r="C840" s="1">
        <f t="shared" si="26"/>
        <v>769</v>
      </c>
      <c r="D840">
        <v>309</v>
      </c>
      <c r="E840">
        <v>3</v>
      </c>
      <c r="F840" t="s">
        <v>15</v>
      </c>
      <c r="G840" t="s">
        <v>84</v>
      </c>
      <c r="H840" t="s">
        <v>49</v>
      </c>
      <c r="I840" s="2">
        <v>44807</v>
      </c>
      <c r="J840" t="s">
        <v>982</v>
      </c>
      <c r="K840" t="s">
        <v>100</v>
      </c>
      <c r="L840" t="s">
        <v>119</v>
      </c>
      <c r="M840" t="s">
        <v>133</v>
      </c>
      <c r="N840" t="str">
        <f t="shared" si="27"/>
        <v>September</v>
      </c>
    </row>
    <row r="841" spans="1:14" x14ac:dyDescent="0.3">
      <c r="A841" t="s">
        <v>981</v>
      </c>
      <c r="B841" s="1">
        <v>1078</v>
      </c>
      <c r="C841" s="1">
        <f t="shared" si="26"/>
        <v>769</v>
      </c>
      <c r="D841">
        <v>309</v>
      </c>
      <c r="E841">
        <v>3</v>
      </c>
      <c r="F841" t="s">
        <v>15</v>
      </c>
      <c r="G841" t="s">
        <v>84</v>
      </c>
      <c r="H841" t="s">
        <v>49</v>
      </c>
      <c r="I841" s="2">
        <v>44105</v>
      </c>
      <c r="J841" t="s">
        <v>983</v>
      </c>
      <c r="K841" t="s">
        <v>23</v>
      </c>
      <c r="L841" t="s">
        <v>24</v>
      </c>
      <c r="M841" t="s">
        <v>121</v>
      </c>
      <c r="N841" t="str">
        <f t="shared" si="27"/>
        <v>October</v>
      </c>
    </row>
    <row r="842" spans="1:14" x14ac:dyDescent="0.3">
      <c r="A842" t="s">
        <v>984</v>
      </c>
      <c r="B842" s="1">
        <v>8560</v>
      </c>
      <c r="C842" s="1">
        <f t="shared" si="26"/>
        <v>6394</v>
      </c>
      <c r="D842">
        <v>2166</v>
      </c>
      <c r="E842">
        <v>19</v>
      </c>
      <c r="F842" t="s">
        <v>32</v>
      </c>
      <c r="G842" t="s">
        <v>80</v>
      </c>
      <c r="H842" t="s">
        <v>42</v>
      </c>
      <c r="I842" s="2">
        <v>44708</v>
      </c>
      <c r="J842" t="s">
        <v>985</v>
      </c>
      <c r="K842" t="s">
        <v>19</v>
      </c>
      <c r="L842" t="s">
        <v>152</v>
      </c>
      <c r="M842" t="s">
        <v>182</v>
      </c>
      <c r="N842" t="str">
        <f t="shared" si="27"/>
        <v>May</v>
      </c>
    </row>
    <row r="843" spans="1:14" x14ac:dyDescent="0.3">
      <c r="A843" t="s">
        <v>984</v>
      </c>
      <c r="B843" s="1">
        <v>1031</v>
      </c>
      <c r="C843" s="1">
        <f t="shared" si="26"/>
        <v>713</v>
      </c>
      <c r="D843">
        <v>318</v>
      </c>
      <c r="E843">
        <v>20</v>
      </c>
      <c r="F843" t="s">
        <v>15</v>
      </c>
      <c r="G843" t="s">
        <v>16</v>
      </c>
      <c r="H843" t="s">
        <v>17</v>
      </c>
      <c r="I843" s="2">
        <v>44708</v>
      </c>
      <c r="J843" t="s">
        <v>985</v>
      </c>
      <c r="K843" t="s">
        <v>19</v>
      </c>
      <c r="L843" t="s">
        <v>152</v>
      </c>
      <c r="M843" t="s">
        <v>182</v>
      </c>
      <c r="N843" t="str">
        <f t="shared" si="27"/>
        <v>May</v>
      </c>
    </row>
    <row r="844" spans="1:14" x14ac:dyDescent="0.3">
      <c r="A844" t="s">
        <v>986</v>
      </c>
      <c r="B844" s="1">
        <v>6402</v>
      </c>
      <c r="C844" s="1">
        <f t="shared" si="26"/>
        <v>3632</v>
      </c>
      <c r="D844">
        <v>2770</v>
      </c>
      <c r="E844">
        <v>19</v>
      </c>
      <c r="F844" t="s">
        <v>32</v>
      </c>
      <c r="G844" t="s">
        <v>59</v>
      </c>
      <c r="H844" t="s">
        <v>34</v>
      </c>
      <c r="I844" s="2">
        <v>45361</v>
      </c>
      <c r="J844" t="s">
        <v>987</v>
      </c>
      <c r="K844" t="s">
        <v>19</v>
      </c>
      <c r="L844" t="s">
        <v>36</v>
      </c>
      <c r="M844" t="s">
        <v>340</v>
      </c>
      <c r="N844" t="str">
        <f t="shared" si="27"/>
        <v>March</v>
      </c>
    </row>
    <row r="845" spans="1:14" x14ac:dyDescent="0.3">
      <c r="A845" t="s">
        <v>986</v>
      </c>
      <c r="B845" s="1">
        <v>6402</v>
      </c>
      <c r="C845" s="1">
        <f t="shared" si="26"/>
        <v>3632</v>
      </c>
      <c r="D845">
        <v>2770</v>
      </c>
      <c r="E845">
        <v>19</v>
      </c>
      <c r="F845" t="s">
        <v>32</v>
      </c>
      <c r="G845" t="s">
        <v>59</v>
      </c>
      <c r="H845" t="s">
        <v>34</v>
      </c>
      <c r="I845" s="2">
        <v>45204</v>
      </c>
      <c r="J845" t="s">
        <v>988</v>
      </c>
      <c r="K845" t="s">
        <v>19</v>
      </c>
      <c r="L845" t="s">
        <v>36</v>
      </c>
      <c r="M845" t="s">
        <v>444</v>
      </c>
      <c r="N845" t="str">
        <f t="shared" si="27"/>
        <v>October</v>
      </c>
    </row>
    <row r="846" spans="1:14" x14ac:dyDescent="0.3">
      <c r="A846" t="s">
        <v>986</v>
      </c>
      <c r="B846" s="1">
        <v>5916</v>
      </c>
      <c r="C846" s="1">
        <f t="shared" si="26"/>
        <v>4322</v>
      </c>
      <c r="D846">
        <v>1594</v>
      </c>
      <c r="E846">
        <v>19</v>
      </c>
      <c r="F846" t="s">
        <v>15</v>
      </c>
      <c r="G846" t="s">
        <v>30</v>
      </c>
      <c r="H846" t="s">
        <v>34</v>
      </c>
      <c r="I846" s="2">
        <v>45361</v>
      </c>
      <c r="J846" t="s">
        <v>987</v>
      </c>
      <c r="K846" t="s">
        <v>19</v>
      </c>
      <c r="L846" t="s">
        <v>36</v>
      </c>
      <c r="M846" t="s">
        <v>340</v>
      </c>
      <c r="N846" t="str">
        <f t="shared" si="27"/>
        <v>March</v>
      </c>
    </row>
    <row r="847" spans="1:14" x14ac:dyDescent="0.3">
      <c r="A847" t="s">
        <v>986</v>
      </c>
      <c r="B847" s="1">
        <v>5916</v>
      </c>
      <c r="C847" s="1">
        <f t="shared" si="26"/>
        <v>4322</v>
      </c>
      <c r="D847">
        <v>1594</v>
      </c>
      <c r="E847">
        <v>19</v>
      </c>
      <c r="F847" t="s">
        <v>15</v>
      </c>
      <c r="G847" t="s">
        <v>30</v>
      </c>
      <c r="H847" t="s">
        <v>34</v>
      </c>
      <c r="I847" s="2">
        <v>45204</v>
      </c>
      <c r="J847" t="s">
        <v>988</v>
      </c>
      <c r="K847" t="s">
        <v>19</v>
      </c>
      <c r="L847" t="s">
        <v>36</v>
      </c>
      <c r="M847" t="s">
        <v>444</v>
      </c>
      <c r="N847" t="str">
        <f t="shared" si="27"/>
        <v>October</v>
      </c>
    </row>
    <row r="848" spans="1:14" x14ac:dyDescent="0.3">
      <c r="A848" t="s">
        <v>989</v>
      </c>
      <c r="B848" s="1">
        <v>4015</v>
      </c>
      <c r="C848" s="1">
        <f t="shared" si="26"/>
        <v>2264</v>
      </c>
      <c r="D848">
        <v>1751</v>
      </c>
      <c r="E848">
        <v>15</v>
      </c>
      <c r="F848" t="s">
        <v>47</v>
      </c>
      <c r="G848" t="s">
        <v>51</v>
      </c>
      <c r="H848" t="s">
        <v>34</v>
      </c>
      <c r="I848" s="2">
        <v>44801</v>
      </c>
      <c r="J848" t="s">
        <v>990</v>
      </c>
      <c r="K848" t="s">
        <v>44</v>
      </c>
      <c r="L848" t="s">
        <v>94</v>
      </c>
      <c r="M848" t="s">
        <v>211</v>
      </c>
      <c r="N848" t="str">
        <f t="shared" si="27"/>
        <v>August</v>
      </c>
    </row>
    <row r="849" spans="1:14" x14ac:dyDescent="0.3">
      <c r="A849" t="s">
        <v>989</v>
      </c>
      <c r="B849" s="1">
        <v>4015</v>
      </c>
      <c r="C849" s="1">
        <f t="shared" si="26"/>
        <v>2264</v>
      </c>
      <c r="D849">
        <v>1751</v>
      </c>
      <c r="E849">
        <v>15</v>
      </c>
      <c r="F849" t="s">
        <v>47</v>
      </c>
      <c r="G849" t="s">
        <v>51</v>
      </c>
      <c r="H849" t="s">
        <v>34</v>
      </c>
      <c r="I849" s="2">
        <v>44082</v>
      </c>
      <c r="J849" t="s">
        <v>991</v>
      </c>
      <c r="K849" t="s">
        <v>27</v>
      </c>
      <c r="L849" t="s">
        <v>53</v>
      </c>
      <c r="M849" t="s">
        <v>391</v>
      </c>
      <c r="N849" t="str">
        <f t="shared" si="27"/>
        <v>September</v>
      </c>
    </row>
    <row r="850" spans="1:14" x14ac:dyDescent="0.3">
      <c r="A850" t="s">
        <v>992</v>
      </c>
      <c r="B850" s="1">
        <v>9335</v>
      </c>
      <c r="C850" s="1">
        <f t="shared" si="26"/>
        <v>8778</v>
      </c>
      <c r="D850">
        <v>557</v>
      </c>
      <c r="E850">
        <v>11</v>
      </c>
      <c r="F850" t="s">
        <v>15</v>
      </c>
      <c r="G850" t="s">
        <v>16</v>
      </c>
      <c r="H850" t="s">
        <v>67</v>
      </c>
      <c r="I850" s="2">
        <v>44313</v>
      </c>
      <c r="J850" t="s">
        <v>993</v>
      </c>
      <c r="K850" t="s">
        <v>44</v>
      </c>
      <c r="L850" t="s">
        <v>45</v>
      </c>
      <c r="M850" t="s">
        <v>141</v>
      </c>
      <c r="N850" t="str">
        <f t="shared" si="27"/>
        <v>April</v>
      </c>
    </row>
    <row r="851" spans="1:14" x14ac:dyDescent="0.3">
      <c r="A851" t="s">
        <v>994</v>
      </c>
      <c r="B851" s="1">
        <v>4706</v>
      </c>
      <c r="C851" s="1">
        <f t="shared" si="26"/>
        <v>4112</v>
      </c>
      <c r="D851">
        <v>594</v>
      </c>
      <c r="E851">
        <v>11</v>
      </c>
      <c r="F851" t="s">
        <v>32</v>
      </c>
      <c r="G851" t="s">
        <v>80</v>
      </c>
      <c r="H851" t="s">
        <v>67</v>
      </c>
      <c r="I851" s="2">
        <v>44429</v>
      </c>
      <c r="J851" t="s">
        <v>995</v>
      </c>
      <c r="K851" t="s">
        <v>100</v>
      </c>
      <c r="L851" t="s">
        <v>119</v>
      </c>
      <c r="M851" t="s">
        <v>180</v>
      </c>
      <c r="N851" t="str">
        <f t="shared" si="27"/>
        <v>August</v>
      </c>
    </row>
    <row r="852" spans="1:14" x14ac:dyDescent="0.3">
      <c r="A852" t="s">
        <v>994</v>
      </c>
      <c r="B852" s="1">
        <v>4706</v>
      </c>
      <c r="C852" s="1">
        <f t="shared" si="26"/>
        <v>4112</v>
      </c>
      <c r="D852">
        <v>594</v>
      </c>
      <c r="E852">
        <v>11</v>
      </c>
      <c r="F852" t="s">
        <v>32</v>
      </c>
      <c r="G852" t="s">
        <v>80</v>
      </c>
      <c r="H852" t="s">
        <v>67</v>
      </c>
      <c r="I852" s="2">
        <v>44332</v>
      </c>
      <c r="J852" t="s">
        <v>996</v>
      </c>
      <c r="K852" t="s">
        <v>100</v>
      </c>
      <c r="L852" t="s">
        <v>101</v>
      </c>
      <c r="M852" t="s">
        <v>110</v>
      </c>
      <c r="N852" t="str">
        <f t="shared" si="27"/>
        <v>May</v>
      </c>
    </row>
    <row r="853" spans="1:14" x14ac:dyDescent="0.3">
      <c r="A853" t="s">
        <v>994</v>
      </c>
      <c r="B853" s="1">
        <v>6584</v>
      </c>
      <c r="C853" s="1">
        <f t="shared" si="26"/>
        <v>6213</v>
      </c>
      <c r="D853">
        <v>371</v>
      </c>
      <c r="E853">
        <v>6</v>
      </c>
      <c r="F853" t="s">
        <v>32</v>
      </c>
      <c r="G853" t="s">
        <v>59</v>
      </c>
      <c r="H853" t="s">
        <v>17</v>
      </c>
      <c r="I853" s="2">
        <v>44429</v>
      </c>
      <c r="J853" t="s">
        <v>995</v>
      </c>
      <c r="K853" t="s">
        <v>100</v>
      </c>
      <c r="L853" t="s">
        <v>119</v>
      </c>
      <c r="M853" t="s">
        <v>180</v>
      </c>
      <c r="N853" t="str">
        <f t="shared" si="27"/>
        <v>August</v>
      </c>
    </row>
    <row r="854" spans="1:14" x14ac:dyDescent="0.3">
      <c r="A854" t="s">
        <v>994</v>
      </c>
      <c r="B854" s="1">
        <v>6584</v>
      </c>
      <c r="C854" s="1">
        <f t="shared" si="26"/>
        <v>6213</v>
      </c>
      <c r="D854">
        <v>371</v>
      </c>
      <c r="E854">
        <v>6</v>
      </c>
      <c r="F854" t="s">
        <v>32</v>
      </c>
      <c r="G854" t="s">
        <v>59</v>
      </c>
      <c r="H854" t="s">
        <v>17</v>
      </c>
      <c r="I854" s="2">
        <v>44332</v>
      </c>
      <c r="J854" t="s">
        <v>996</v>
      </c>
      <c r="K854" t="s">
        <v>100</v>
      </c>
      <c r="L854" t="s">
        <v>101</v>
      </c>
      <c r="M854" t="s">
        <v>110</v>
      </c>
      <c r="N854" t="str">
        <f t="shared" si="27"/>
        <v>May</v>
      </c>
    </row>
    <row r="855" spans="1:14" x14ac:dyDescent="0.3">
      <c r="A855" t="s">
        <v>997</v>
      </c>
      <c r="B855" s="1">
        <v>6389</v>
      </c>
      <c r="C855" s="1">
        <f t="shared" si="26"/>
        <v>5655</v>
      </c>
      <c r="D855">
        <v>734</v>
      </c>
      <c r="E855">
        <v>1</v>
      </c>
      <c r="F855" t="s">
        <v>47</v>
      </c>
      <c r="G855" t="s">
        <v>62</v>
      </c>
      <c r="H855" t="s">
        <v>42</v>
      </c>
      <c r="I855" s="2">
        <v>44576</v>
      </c>
      <c r="J855" t="s">
        <v>998</v>
      </c>
      <c r="K855" t="s">
        <v>73</v>
      </c>
      <c r="L855" t="s">
        <v>74</v>
      </c>
      <c r="M855" t="s">
        <v>89</v>
      </c>
      <c r="N855" t="str">
        <f t="shared" si="27"/>
        <v>January</v>
      </c>
    </row>
    <row r="856" spans="1:14" x14ac:dyDescent="0.3">
      <c r="A856" t="s">
        <v>999</v>
      </c>
      <c r="B856" s="1">
        <v>9869</v>
      </c>
      <c r="C856" s="1">
        <f t="shared" si="26"/>
        <v>5570</v>
      </c>
      <c r="D856">
        <v>4299</v>
      </c>
      <c r="E856">
        <v>12</v>
      </c>
      <c r="F856" t="s">
        <v>15</v>
      </c>
      <c r="G856" t="s">
        <v>30</v>
      </c>
      <c r="H856" t="s">
        <v>34</v>
      </c>
      <c r="I856" s="2">
        <v>45006</v>
      </c>
      <c r="J856" t="s">
        <v>1000</v>
      </c>
      <c r="K856" t="s">
        <v>44</v>
      </c>
      <c r="L856" t="s">
        <v>77</v>
      </c>
      <c r="M856" t="s">
        <v>247</v>
      </c>
      <c r="N856" t="str">
        <f t="shared" si="27"/>
        <v>March</v>
      </c>
    </row>
    <row r="857" spans="1:14" x14ac:dyDescent="0.3">
      <c r="A857" t="s">
        <v>999</v>
      </c>
      <c r="B857" s="1">
        <v>9869</v>
      </c>
      <c r="C857" s="1">
        <f t="shared" si="26"/>
        <v>5570</v>
      </c>
      <c r="D857">
        <v>4299</v>
      </c>
      <c r="E857">
        <v>12</v>
      </c>
      <c r="F857" t="s">
        <v>15</v>
      </c>
      <c r="G857" t="s">
        <v>30</v>
      </c>
      <c r="H857" t="s">
        <v>34</v>
      </c>
      <c r="I857" s="2">
        <v>45288</v>
      </c>
      <c r="J857" t="s">
        <v>1001</v>
      </c>
      <c r="K857" t="s">
        <v>27</v>
      </c>
      <c r="L857" t="s">
        <v>28</v>
      </c>
      <c r="M857" t="s">
        <v>104</v>
      </c>
      <c r="N857" t="str">
        <f t="shared" si="27"/>
        <v>December</v>
      </c>
    </row>
    <row r="858" spans="1:14" x14ac:dyDescent="0.3">
      <c r="A858" t="s">
        <v>1002</v>
      </c>
      <c r="B858" s="1">
        <v>655</v>
      </c>
      <c r="C858" s="1">
        <f t="shared" si="26"/>
        <v>358</v>
      </c>
      <c r="D858">
        <v>297</v>
      </c>
      <c r="E858">
        <v>4</v>
      </c>
      <c r="F858" t="s">
        <v>32</v>
      </c>
      <c r="G858" t="s">
        <v>59</v>
      </c>
      <c r="H858" t="s">
        <v>34</v>
      </c>
      <c r="I858" s="2">
        <v>44607</v>
      </c>
      <c r="J858" t="s">
        <v>1003</v>
      </c>
      <c r="K858" t="s">
        <v>27</v>
      </c>
      <c r="L858" t="s">
        <v>28</v>
      </c>
      <c r="M858" t="s">
        <v>139</v>
      </c>
      <c r="N858" t="str">
        <f t="shared" si="27"/>
        <v>February</v>
      </c>
    </row>
    <row r="859" spans="1:14" x14ac:dyDescent="0.3">
      <c r="A859" t="s">
        <v>1002</v>
      </c>
      <c r="B859" s="1">
        <v>655</v>
      </c>
      <c r="C859" s="1">
        <f t="shared" si="26"/>
        <v>358</v>
      </c>
      <c r="D859">
        <v>297</v>
      </c>
      <c r="E859">
        <v>4</v>
      </c>
      <c r="F859" t="s">
        <v>32</v>
      </c>
      <c r="G859" t="s">
        <v>59</v>
      </c>
      <c r="H859" t="s">
        <v>34</v>
      </c>
      <c r="I859" s="2">
        <v>45260</v>
      </c>
      <c r="J859" t="s">
        <v>1004</v>
      </c>
      <c r="K859" t="s">
        <v>19</v>
      </c>
      <c r="L859" t="s">
        <v>36</v>
      </c>
      <c r="M859" t="s">
        <v>54</v>
      </c>
      <c r="N859" t="str">
        <f t="shared" si="27"/>
        <v>November</v>
      </c>
    </row>
    <row r="860" spans="1:14" x14ac:dyDescent="0.3">
      <c r="A860" t="s">
        <v>1005</v>
      </c>
      <c r="B860" s="1">
        <v>798</v>
      </c>
      <c r="C860" s="1">
        <f t="shared" si="26"/>
        <v>490</v>
      </c>
      <c r="D860">
        <v>308</v>
      </c>
      <c r="E860">
        <v>10</v>
      </c>
      <c r="F860" t="s">
        <v>15</v>
      </c>
      <c r="G860" t="s">
        <v>84</v>
      </c>
      <c r="H860" t="s">
        <v>34</v>
      </c>
      <c r="I860" s="2">
        <v>44938</v>
      </c>
      <c r="J860" t="s">
        <v>1006</v>
      </c>
      <c r="K860" t="s">
        <v>27</v>
      </c>
      <c r="L860" t="s">
        <v>28</v>
      </c>
      <c r="M860" t="s">
        <v>335</v>
      </c>
      <c r="N860" t="str">
        <f t="shared" si="27"/>
        <v>January</v>
      </c>
    </row>
    <row r="861" spans="1:14" x14ac:dyDescent="0.3">
      <c r="A861" t="s">
        <v>1005</v>
      </c>
      <c r="B861" s="1">
        <v>798</v>
      </c>
      <c r="C861" s="1">
        <f t="shared" si="26"/>
        <v>490</v>
      </c>
      <c r="D861">
        <v>308</v>
      </c>
      <c r="E861">
        <v>10</v>
      </c>
      <c r="F861" t="s">
        <v>15</v>
      </c>
      <c r="G861" t="s">
        <v>84</v>
      </c>
      <c r="H861" t="s">
        <v>34</v>
      </c>
      <c r="I861" s="2">
        <v>45065</v>
      </c>
      <c r="J861" t="s">
        <v>1007</v>
      </c>
      <c r="K861" t="s">
        <v>100</v>
      </c>
      <c r="L861" t="s">
        <v>119</v>
      </c>
      <c r="M861" t="s">
        <v>129</v>
      </c>
      <c r="N861" t="str">
        <f t="shared" si="27"/>
        <v>May</v>
      </c>
    </row>
    <row r="862" spans="1:14" x14ac:dyDescent="0.3">
      <c r="A862" t="s">
        <v>1005</v>
      </c>
      <c r="B862" s="1">
        <v>7967</v>
      </c>
      <c r="C862" s="1">
        <f t="shared" si="26"/>
        <v>5463</v>
      </c>
      <c r="D862">
        <v>2504</v>
      </c>
      <c r="E862">
        <v>13</v>
      </c>
      <c r="F862" t="s">
        <v>15</v>
      </c>
      <c r="G862" t="s">
        <v>30</v>
      </c>
      <c r="H862" t="s">
        <v>42</v>
      </c>
      <c r="I862" s="2">
        <v>44938</v>
      </c>
      <c r="J862" t="s">
        <v>1006</v>
      </c>
      <c r="K862" t="s">
        <v>27</v>
      </c>
      <c r="L862" t="s">
        <v>28</v>
      </c>
      <c r="M862" t="s">
        <v>335</v>
      </c>
      <c r="N862" t="str">
        <f t="shared" si="27"/>
        <v>January</v>
      </c>
    </row>
    <row r="863" spans="1:14" x14ac:dyDescent="0.3">
      <c r="A863" t="s">
        <v>1005</v>
      </c>
      <c r="B863" s="1">
        <v>7967</v>
      </c>
      <c r="C863" s="1">
        <f t="shared" si="26"/>
        <v>5463</v>
      </c>
      <c r="D863">
        <v>2504</v>
      </c>
      <c r="E863">
        <v>13</v>
      </c>
      <c r="F863" t="s">
        <v>15</v>
      </c>
      <c r="G863" t="s">
        <v>30</v>
      </c>
      <c r="H863" t="s">
        <v>42</v>
      </c>
      <c r="I863" s="2">
        <v>45065</v>
      </c>
      <c r="J863" t="s">
        <v>1007</v>
      </c>
      <c r="K863" t="s">
        <v>100</v>
      </c>
      <c r="L863" t="s">
        <v>119</v>
      </c>
      <c r="M863" t="s">
        <v>129</v>
      </c>
      <c r="N863" t="str">
        <f t="shared" si="27"/>
        <v>May</v>
      </c>
    </row>
    <row r="864" spans="1:14" x14ac:dyDescent="0.3">
      <c r="A864" t="s">
        <v>1008</v>
      </c>
      <c r="B864" s="1">
        <v>3756</v>
      </c>
      <c r="C864" s="1">
        <f t="shared" si="26"/>
        <v>2438</v>
      </c>
      <c r="D864">
        <v>1318</v>
      </c>
      <c r="E864">
        <v>5</v>
      </c>
      <c r="F864" t="s">
        <v>47</v>
      </c>
      <c r="G864" t="s">
        <v>48</v>
      </c>
      <c r="H864" t="s">
        <v>17</v>
      </c>
      <c r="I864" s="2">
        <v>45341</v>
      </c>
      <c r="J864" t="s">
        <v>1009</v>
      </c>
      <c r="K864" t="s">
        <v>19</v>
      </c>
      <c r="L864" t="s">
        <v>20</v>
      </c>
      <c r="M864" t="s">
        <v>220</v>
      </c>
      <c r="N864" t="str">
        <f t="shared" si="27"/>
        <v>February</v>
      </c>
    </row>
    <row r="865" spans="1:14" x14ac:dyDescent="0.3">
      <c r="A865" t="s">
        <v>1010</v>
      </c>
      <c r="B865" s="1">
        <v>5196</v>
      </c>
      <c r="C865" s="1">
        <f t="shared" si="26"/>
        <v>2719</v>
      </c>
      <c r="D865">
        <v>2477</v>
      </c>
      <c r="E865">
        <v>1</v>
      </c>
      <c r="F865" t="s">
        <v>32</v>
      </c>
      <c r="G865" t="s">
        <v>59</v>
      </c>
      <c r="H865" t="s">
        <v>17</v>
      </c>
      <c r="I865" s="2">
        <v>44531</v>
      </c>
      <c r="J865" t="s">
        <v>1011</v>
      </c>
      <c r="K865" t="s">
        <v>73</v>
      </c>
      <c r="L865" t="s">
        <v>88</v>
      </c>
      <c r="M865" t="s">
        <v>92</v>
      </c>
      <c r="N865" t="str">
        <f t="shared" si="27"/>
        <v>December</v>
      </c>
    </row>
    <row r="866" spans="1:14" x14ac:dyDescent="0.3">
      <c r="A866" t="s">
        <v>1010</v>
      </c>
      <c r="B866" s="1">
        <v>6586</v>
      </c>
      <c r="C866" s="1">
        <f t="shared" si="26"/>
        <v>4792</v>
      </c>
      <c r="D866">
        <v>1794</v>
      </c>
      <c r="E866">
        <v>19</v>
      </c>
      <c r="F866" t="s">
        <v>47</v>
      </c>
      <c r="G866" t="s">
        <v>111</v>
      </c>
      <c r="H866" t="s">
        <v>34</v>
      </c>
      <c r="I866" s="2">
        <v>44531</v>
      </c>
      <c r="J866" t="s">
        <v>1011</v>
      </c>
      <c r="K866" t="s">
        <v>73</v>
      </c>
      <c r="L866" t="s">
        <v>88</v>
      </c>
      <c r="M866" t="s">
        <v>92</v>
      </c>
      <c r="N866" t="str">
        <f t="shared" si="27"/>
        <v>December</v>
      </c>
    </row>
    <row r="867" spans="1:14" x14ac:dyDescent="0.3">
      <c r="A867" t="s">
        <v>1012</v>
      </c>
      <c r="B867" s="1">
        <v>6673</v>
      </c>
      <c r="C867" s="1">
        <f t="shared" si="26"/>
        <v>5723</v>
      </c>
      <c r="D867">
        <v>950</v>
      </c>
      <c r="E867">
        <v>19</v>
      </c>
      <c r="F867" t="s">
        <v>32</v>
      </c>
      <c r="G867" t="s">
        <v>59</v>
      </c>
      <c r="H867" t="s">
        <v>42</v>
      </c>
      <c r="I867" s="2">
        <v>45645</v>
      </c>
      <c r="J867" t="s">
        <v>1013</v>
      </c>
      <c r="K867" t="s">
        <v>27</v>
      </c>
      <c r="L867" t="s">
        <v>28</v>
      </c>
      <c r="M867" t="s">
        <v>25</v>
      </c>
      <c r="N867" t="str">
        <f t="shared" si="27"/>
        <v>December</v>
      </c>
    </row>
    <row r="868" spans="1:14" x14ac:dyDescent="0.3">
      <c r="A868" t="s">
        <v>1014</v>
      </c>
      <c r="B868" s="1">
        <v>714</v>
      </c>
      <c r="C868" s="1">
        <f t="shared" si="26"/>
        <v>482</v>
      </c>
      <c r="D868">
        <v>232</v>
      </c>
      <c r="E868">
        <v>14</v>
      </c>
      <c r="F868" t="s">
        <v>47</v>
      </c>
      <c r="G868" t="s">
        <v>48</v>
      </c>
      <c r="H868" t="s">
        <v>17</v>
      </c>
      <c r="I868" s="2">
        <v>44944</v>
      </c>
      <c r="J868" t="s">
        <v>1015</v>
      </c>
      <c r="K868" t="s">
        <v>100</v>
      </c>
      <c r="L868" t="s">
        <v>101</v>
      </c>
      <c r="M868" t="s">
        <v>335</v>
      </c>
      <c r="N868" t="str">
        <f t="shared" si="27"/>
        <v>January</v>
      </c>
    </row>
    <row r="869" spans="1:14" x14ac:dyDescent="0.3">
      <c r="A869" t="s">
        <v>1014</v>
      </c>
      <c r="B869" s="1">
        <v>714</v>
      </c>
      <c r="C869" s="1">
        <f t="shared" si="26"/>
        <v>482</v>
      </c>
      <c r="D869">
        <v>232</v>
      </c>
      <c r="E869">
        <v>14</v>
      </c>
      <c r="F869" t="s">
        <v>47</v>
      </c>
      <c r="G869" t="s">
        <v>48</v>
      </c>
      <c r="H869" t="s">
        <v>17</v>
      </c>
      <c r="I869" s="2">
        <v>44188</v>
      </c>
      <c r="J869" t="s">
        <v>1016</v>
      </c>
      <c r="K869" t="s">
        <v>73</v>
      </c>
      <c r="L869" t="s">
        <v>88</v>
      </c>
      <c r="M869" t="s">
        <v>289</v>
      </c>
      <c r="N869" t="str">
        <f t="shared" si="27"/>
        <v>December</v>
      </c>
    </row>
    <row r="870" spans="1:14" x14ac:dyDescent="0.3">
      <c r="A870" t="s">
        <v>1017</v>
      </c>
      <c r="B870" s="1">
        <v>1083</v>
      </c>
      <c r="C870" s="1">
        <f t="shared" si="26"/>
        <v>582</v>
      </c>
      <c r="D870">
        <v>501</v>
      </c>
      <c r="E870">
        <v>6</v>
      </c>
      <c r="F870" t="s">
        <v>32</v>
      </c>
      <c r="G870" t="s">
        <v>33</v>
      </c>
      <c r="H870" t="s">
        <v>67</v>
      </c>
      <c r="I870" s="2">
        <v>44255</v>
      </c>
      <c r="J870" t="s">
        <v>1018</v>
      </c>
      <c r="K870" t="s">
        <v>73</v>
      </c>
      <c r="L870" t="s">
        <v>88</v>
      </c>
      <c r="M870" t="s">
        <v>294</v>
      </c>
      <c r="N870" t="str">
        <f t="shared" si="27"/>
        <v>February</v>
      </c>
    </row>
    <row r="871" spans="1:14" x14ac:dyDescent="0.3">
      <c r="A871" t="s">
        <v>1019</v>
      </c>
      <c r="B871" s="1">
        <v>2401</v>
      </c>
      <c r="C871" s="1">
        <f t="shared" si="26"/>
        <v>1238</v>
      </c>
      <c r="D871">
        <v>1163</v>
      </c>
      <c r="E871">
        <v>10</v>
      </c>
      <c r="F871" t="s">
        <v>47</v>
      </c>
      <c r="G871" t="s">
        <v>111</v>
      </c>
      <c r="H871" t="s">
        <v>17</v>
      </c>
      <c r="I871" s="2">
        <v>45050</v>
      </c>
      <c r="J871" t="s">
        <v>1020</v>
      </c>
      <c r="K871" t="s">
        <v>100</v>
      </c>
      <c r="L871" t="s">
        <v>119</v>
      </c>
      <c r="M871" t="s">
        <v>129</v>
      </c>
      <c r="N871" t="str">
        <f t="shared" si="27"/>
        <v>May</v>
      </c>
    </row>
    <row r="872" spans="1:14" x14ac:dyDescent="0.3">
      <c r="A872" t="s">
        <v>1019</v>
      </c>
      <c r="B872" s="1">
        <v>2401</v>
      </c>
      <c r="C872" s="1">
        <f t="shared" si="26"/>
        <v>1238</v>
      </c>
      <c r="D872">
        <v>1163</v>
      </c>
      <c r="E872">
        <v>10</v>
      </c>
      <c r="F872" t="s">
        <v>47</v>
      </c>
      <c r="G872" t="s">
        <v>111</v>
      </c>
      <c r="H872" t="s">
        <v>17</v>
      </c>
      <c r="I872" s="2">
        <v>43943</v>
      </c>
      <c r="J872" t="s">
        <v>1021</v>
      </c>
      <c r="K872" t="s">
        <v>44</v>
      </c>
      <c r="L872" t="s">
        <v>45</v>
      </c>
      <c r="M872" t="s">
        <v>164</v>
      </c>
      <c r="N872" t="str">
        <f t="shared" si="27"/>
        <v>April</v>
      </c>
    </row>
    <row r="873" spans="1:14" x14ac:dyDescent="0.3">
      <c r="A873" t="s">
        <v>1019</v>
      </c>
      <c r="B873" s="1">
        <v>2401</v>
      </c>
      <c r="C873" s="1">
        <f t="shared" si="26"/>
        <v>1238</v>
      </c>
      <c r="D873">
        <v>1163</v>
      </c>
      <c r="E873">
        <v>10</v>
      </c>
      <c r="F873" t="s">
        <v>47</v>
      </c>
      <c r="G873" t="s">
        <v>111</v>
      </c>
      <c r="H873" t="s">
        <v>17</v>
      </c>
      <c r="I873" s="2">
        <v>44421</v>
      </c>
      <c r="J873" t="s">
        <v>1022</v>
      </c>
      <c r="K873" t="s">
        <v>27</v>
      </c>
      <c r="L873" t="s">
        <v>70</v>
      </c>
      <c r="M873" t="s">
        <v>180</v>
      </c>
      <c r="N873" t="str">
        <f t="shared" si="27"/>
        <v>August</v>
      </c>
    </row>
    <row r="874" spans="1:14" x14ac:dyDescent="0.3">
      <c r="A874" t="s">
        <v>1019</v>
      </c>
      <c r="B874" s="1">
        <v>1045</v>
      </c>
      <c r="C874" s="1">
        <f t="shared" si="26"/>
        <v>778</v>
      </c>
      <c r="D874">
        <v>267</v>
      </c>
      <c r="E874">
        <v>11</v>
      </c>
      <c r="F874" t="s">
        <v>15</v>
      </c>
      <c r="G874" t="s">
        <v>84</v>
      </c>
      <c r="H874" t="s">
        <v>34</v>
      </c>
      <c r="I874" s="2">
        <v>45050</v>
      </c>
      <c r="J874" t="s">
        <v>1020</v>
      </c>
      <c r="K874" t="s">
        <v>100</v>
      </c>
      <c r="L874" t="s">
        <v>119</v>
      </c>
      <c r="M874" t="s">
        <v>129</v>
      </c>
      <c r="N874" t="str">
        <f t="shared" si="27"/>
        <v>May</v>
      </c>
    </row>
    <row r="875" spans="1:14" x14ac:dyDescent="0.3">
      <c r="A875" t="s">
        <v>1019</v>
      </c>
      <c r="B875" s="1">
        <v>1045</v>
      </c>
      <c r="C875" s="1">
        <f t="shared" si="26"/>
        <v>778</v>
      </c>
      <c r="D875">
        <v>267</v>
      </c>
      <c r="E875">
        <v>11</v>
      </c>
      <c r="F875" t="s">
        <v>15</v>
      </c>
      <c r="G875" t="s">
        <v>84</v>
      </c>
      <c r="H875" t="s">
        <v>34</v>
      </c>
      <c r="I875" s="2">
        <v>43943</v>
      </c>
      <c r="J875" t="s">
        <v>1021</v>
      </c>
      <c r="K875" t="s">
        <v>44</v>
      </c>
      <c r="L875" t="s">
        <v>45</v>
      </c>
      <c r="M875" t="s">
        <v>164</v>
      </c>
      <c r="N875" t="str">
        <f t="shared" si="27"/>
        <v>April</v>
      </c>
    </row>
    <row r="876" spans="1:14" x14ac:dyDescent="0.3">
      <c r="A876" t="s">
        <v>1019</v>
      </c>
      <c r="B876" s="1">
        <v>1045</v>
      </c>
      <c r="C876" s="1">
        <f t="shared" si="26"/>
        <v>778</v>
      </c>
      <c r="D876">
        <v>267</v>
      </c>
      <c r="E876">
        <v>11</v>
      </c>
      <c r="F876" t="s">
        <v>15</v>
      </c>
      <c r="G876" t="s">
        <v>84</v>
      </c>
      <c r="H876" t="s">
        <v>34</v>
      </c>
      <c r="I876" s="2">
        <v>44421</v>
      </c>
      <c r="J876" t="s">
        <v>1022</v>
      </c>
      <c r="K876" t="s">
        <v>27</v>
      </c>
      <c r="L876" t="s">
        <v>70</v>
      </c>
      <c r="M876" t="s">
        <v>180</v>
      </c>
      <c r="N876" t="str">
        <f t="shared" si="27"/>
        <v>August</v>
      </c>
    </row>
    <row r="877" spans="1:14" x14ac:dyDescent="0.3">
      <c r="A877" t="s">
        <v>1023</v>
      </c>
      <c r="B877" s="1">
        <v>7806</v>
      </c>
      <c r="C877" s="1">
        <f t="shared" si="26"/>
        <v>6679</v>
      </c>
      <c r="D877">
        <v>1127</v>
      </c>
      <c r="E877">
        <v>1</v>
      </c>
      <c r="F877" t="s">
        <v>32</v>
      </c>
      <c r="G877" t="s">
        <v>59</v>
      </c>
      <c r="H877" t="s">
        <v>49</v>
      </c>
      <c r="I877" s="2">
        <v>45127</v>
      </c>
      <c r="J877" t="s">
        <v>1024</v>
      </c>
      <c r="K877" t="s">
        <v>73</v>
      </c>
      <c r="L877" t="s">
        <v>74</v>
      </c>
      <c r="M877" t="s">
        <v>107</v>
      </c>
      <c r="N877" t="str">
        <f t="shared" si="27"/>
        <v>July</v>
      </c>
    </row>
    <row r="878" spans="1:14" x14ac:dyDescent="0.3">
      <c r="A878" t="s">
        <v>1025</v>
      </c>
      <c r="B878" s="1">
        <v>5263</v>
      </c>
      <c r="C878" s="1">
        <f t="shared" si="26"/>
        <v>3520</v>
      </c>
      <c r="D878">
        <v>1743</v>
      </c>
      <c r="E878">
        <v>19</v>
      </c>
      <c r="F878" t="s">
        <v>47</v>
      </c>
      <c r="G878" t="s">
        <v>62</v>
      </c>
      <c r="H878" t="s">
        <v>49</v>
      </c>
      <c r="I878" s="2">
        <v>44801</v>
      </c>
      <c r="J878" t="s">
        <v>1026</v>
      </c>
      <c r="K878" t="s">
        <v>19</v>
      </c>
      <c r="L878" t="s">
        <v>20</v>
      </c>
      <c r="M878" t="s">
        <v>211</v>
      </c>
      <c r="N878" t="str">
        <f t="shared" si="27"/>
        <v>August</v>
      </c>
    </row>
    <row r="879" spans="1:14" x14ac:dyDescent="0.3">
      <c r="A879" t="s">
        <v>1027</v>
      </c>
      <c r="B879" s="1">
        <v>6147</v>
      </c>
      <c r="C879" s="1">
        <f t="shared" si="26"/>
        <v>3621</v>
      </c>
      <c r="D879">
        <v>2526</v>
      </c>
      <c r="E879">
        <v>6</v>
      </c>
      <c r="F879" t="s">
        <v>32</v>
      </c>
      <c r="G879" t="s">
        <v>33</v>
      </c>
      <c r="H879" t="s">
        <v>34</v>
      </c>
      <c r="I879" s="2">
        <v>44999</v>
      </c>
      <c r="J879" t="s">
        <v>1028</v>
      </c>
      <c r="K879" t="s">
        <v>73</v>
      </c>
      <c r="L879" t="s">
        <v>74</v>
      </c>
      <c r="M879" t="s">
        <v>247</v>
      </c>
      <c r="N879" t="str">
        <f t="shared" si="27"/>
        <v>March</v>
      </c>
    </row>
    <row r="880" spans="1:14" x14ac:dyDescent="0.3">
      <c r="A880" t="s">
        <v>1029</v>
      </c>
      <c r="B880" s="1">
        <v>7484</v>
      </c>
      <c r="C880" s="1">
        <f t="shared" si="26"/>
        <v>4613</v>
      </c>
      <c r="D880">
        <v>2871</v>
      </c>
      <c r="E880">
        <v>15</v>
      </c>
      <c r="F880" t="s">
        <v>15</v>
      </c>
      <c r="G880" t="s">
        <v>84</v>
      </c>
      <c r="H880" t="s">
        <v>17</v>
      </c>
      <c r="I880" s="2">
        <v>45237</v>
      </c>
      <c r="J880" t="s">
        <v>1030</v>
      </c>
      <c r="K880" t="s">
        <v>19</v>
      </c>
      <c r="L880" t="s">
        <v>36</v>
      </c>
      <c r="M880" t="s">
        <v>54</v>
      </c>
      <c r="N880" t="str">
        <f t="shared" si="27"/>
        <v>November</v>
      </c>
    </row>
    <row r="881" spans="1:14" x14ac:dyDescent="0.3">
      <c r="A881" t="s">
        <v>1029</v>
      </c>
      <c r="B881" s="1">
        <v>7484</v>
      </c>
      <c r="C881" s="1">
        <f t="shared" si="26"/>
        <v>4613</v>
      </c>
      <c r="D881">
        <v>2871</v>
      </c>
      <c r="E881">
        <v>15</v>
      </c>
      <c r="F881" t="s">
        <v>15</v>
      </c>
      <c r="G881" t="s">
        <v>84</v>
      </c>
      <c r="H881" t="s">
        <v>17</v>
      </c>
      <c r="I881" s="2">
        <v>45398</v>
      </c>
      <c r="J881" t="s">
        <v>1031</v>
      </c>
      <c r="K881" t="s">
        <v>23</v>
      </c>
      <c r="L881" t="s">
        <v>24</v>
      </c>
      <c r="M881" t="s">
        <v>237</v>
      </c>
      <c r="N881" t="str">
        <f t="shared" si="27"/>
        <v>April</v>
      </c>
    </row>
    <row r="882" spans="1:14" x14ac:dyDescent="0.3">
      <c r="A882" t="s">
        <v>1029</v>
      </c>
      <c r="B882" s="1">
        <v>7700</v>
      </c>
      <c r="C882" s="1">
        <f t="shared" si="26"/>
        <v>4988</v>
      </c>
      <c r="D882">
        <v>2712</v>
      </c>
      <c r="E882">
        <v>1</v>
      </c>
      <c r="F882" t="s">
        <v>47</v>
      </c>
      <c r="G882" t="s">
        <v>62</v>
      </c>
      <c r="H882" t="s">
        <v>49</v>
      </c>
      <c r="I882" s="2">
        <v>45237</v>
      </c>
      <c r="J882" t="s">
        <v>1030</v>
      </c>
      <c r="K882" t="s">
        <v>19</v>
      </c>
      <c r="L882" t="s">
        <v>36</v>
      </c>
      <c r="M882" t="s">
        <v>54</v>
      </c>
      <c r="N882" t="str">
        <f t="shared" si="27"/>
        <v>November</v>
      </c>
    </row>
    <row r="883" spans="1:14" x14ac:dyDescent="0.3">
      <c r="A883" t="s">
        <v>1029</v>
      </c>
      <c r="B883" s="1">
        <v>7700</v>
      </c>
      <c r="C883" s="1">
        <f t="shared" si="26"/>
        <v>4988</v>
      </c>
      <c r="D883">
        <v>2712</v>
      </c>
      <c r="E883">
        <v>1</v>
      </c>
      <c r="F883" t="s">
        <v>47</v>
      </c>
      <c r="G883" t="s">
        <v>62</v>
      </c>
      <c r="H883" t="s">
        <v>49</v>
      </c>
      <c r="I883" s="2">
        <v>45398</v>
      </c>
      <c r="J883" t="s">
        <v>1031</v>
      </c>
      <c r="K883" t="s">
        <v>23</v>
      </c>
      <c r="L883" t="s">
        <v>24</v>
      </c>
      <c r="M883" t="s">
        <v>237</v>
      </c>
      <c r="N883" t="str">
        <f t="shared" si="27"/>
        <v>April</v>
      </c>
    </row>
    <row r="884" spans="1:14" x14ac:dyDescent="0.3">
      <c r="A884" t="s">
        <v>1032</v>
      </c>
      <c r="B884" s="1">
        <v>8537</v>
      </c>
      <c r="C884" s="1">
        <f t="shared" si="26"/>
        <v>4951</v>
      </c>
      <c r="D884">
        <v>3586</v>
      </c>
      <c r="E884">
        <v>13</v>
      </c>
      <c r="F884" t="s">
        <v>32</v>
      </c>
      <c r="G884" t="s">
        <v>59</v>
      </c>
      <c r="H884" t="s">
        <v>17</v>
      </c>
      <c r="I884" s="2">
        <v>44820</v>
      </c>
      <c r="J884" t="s">
        <v>1033</v>
      </c>
      <c r="K884" t="s">
        <v>27</v>
      </c>
      <c r="L884" t="s">
        <v>70</v>
      </c>
      <c r="M884" t="s">
        <v>133</v>
      </c>
      <c r="N884" t="str">
        <f t="shared" si="27"/>
        <v>September</v>
      </c>
    </row>
    <row r="885" spans="1:14" x14ac:dyDescent="0.3">
      <c r="A885" t="s">
        <v>1034</v>
      </c>
      <c r="B885" s="1">
        <v>8858</v>
      </c>
      <c r="C885" s="1">
        <f t="shared" si="26"/>
        <v>5464</v>
      </c>
      <c r="D885">
        <v>3394</v>
      </c>
      <c r="E885">
        <v>6</v>
      </c>
      <c r="F885" t="s">
        <v>47</v>
      </c>
      <c r="G885" t="s">
        <v>51</v>
      </c>
      <c r="H885" t="s">
        <v>67</v>
      </c>
      <c r="I885" s="2">
        <v>45596</v>
      </c>
      <c r="J885" t="s">
        <v>1035</v>
      </c>
      <c r="K885" t="s">
        <v>44</v>
      </c>
      <c r="L885" t="s">
        <v>77</v>
      </c>
      <c r="M885" t="s">
        <v>362</v>
      </c>
      <c r="N885" t="str">
        <f t="shared" si="27"/>
        <v>October</v>
      </c>
    </row>
    <row r="886" spans="1:14" x14ac:dyDescent="0.3">
      <c r="A886" t="s">
        <v>1036</v>
      </c>
      <c r="B886" s="1">
        <v>5313</v>
      </c>
      <c r="C886" s="1">
        <f t="shared" si="26"/>
        <v>3276</v>
      </c>
      <c r="D886">
        <v>2037</v>
      </c>
      <c r="E886">
        <v>7</v>
      </c>
      <c r="F886" t="s">
        <v>15</v>
      </c>
      <c r="G886" t="s">
        <v>30</v>
      </c>
      <c r="H886" t="s">
        <v>34</v>
      </c>
      <c r="I886" s="2">
        <v>45621</v>
      </c>
      <c r="J886" t="s">
        <v>1037</v>
      </c>
      <c r="K886" t="s">
        <v>44</v>
      </c>
      <c r="L886" t="s">
        <v>94</v>
      </c>
      <c r="M886" t="s">
        <v>257</v>
      </c>
      <c r="N886" t="str">
        <f t="shared" si="27"/>
        <v>November</v>
      </c>
    </row>
    <row r="887" spans="1:14" x14ac:dyDescent="0.3">
      <c r="A887" t="s">
        <v>1036</v>
      </c>
      <c r="B887" s="1">
        <v>5313</v>
      </c>
      <c r="C887" s="1">
        <f t="shared" si="26"/>
        <v>3276</v>
      </c>
      <c r="D887">
        <v>2037</v>
      </c>
      <c r="E887">
        <v>7</v>
      </c>
      <c r="F887" t="s">
        <v>15</v>
      </c>
      <c r="G887" t="s">
        <v>30</v>
      </c>
      <c r="H887" t="s">
        <v>34</v>
      </c>
      <c r="I887" s="2">
        <v>44498</v>
      </c>
      <c r="J887" t="s">
        <v>1038</v>
      </c>
      <c r="K887" t="s">
        <v>73</v>
      </c>
      <c r="L887" t="s">
        <v>140</v>
      </c>
      <c r="M887" t="s">
        <v>39</v>
      </c>
      <c r="N887" t="str">
        <f t="shared" si="27"/>
        <v>October</v>
      </c>
    </row>
    <row r="888" spans="1:14" x14ac:dyDescent="0.3">
      <c r="A888" t="s">
        <v>1039</v>
      </c>
      <c r="B888" s="1">
        <v>3281</v>
      </c>
      <c r="C888" s="1">
        <f t="shared" si="26"/>
        <v>2810</v>
      </c>
      <c r="D888">
        <v>471</v>
      </c>
      <c r="E888">
        <v>7</v>
      </c>
      <c r="F888" t="s">
        <v>47</v>
      </c>
      <c r="G888" t="s">
        <v>62</v>
      </c>
      <c r="H888" t="s">
        <v>42</v>
      </c>
      <c r="I888" s="2">
        <v>45287</v>
      </c>
      <c r="J888" t="s">
        <v>1040</v>
      </c>
      <c r="K888" t="s">
        <v>44</v>
      </c>
      <c r="L888" t="s">
        <v>45</v>
      </c>
      <c r="M888" t="s">
        <v>104</v>
      </c>
      <c r="N888" t="str">
        <f t="shared" si="27"/>
        <v>December</v>
      </c>
    </row>
    <row r="889" spans="1:14" x14ac:dyDescent="0.3">
      <c r="A889" t="s">
        <v>1039</v>
      </c>
      <c r="B889" s="1">
        <v>3281</v>
      </c>
      <c r="C889" s="1">
        <f t="shared" si="26"/>
        <v>2810</v>
      </c>
      <c r="D889">
        <v>471</v>
      </c>
      <c r="E889">
        <v>7</v>
      </c>
      <c r="F889" t="s">
        <v>47</v>
      </c>
      <c r="G889" t="s">
        <v>62</v>
      </c>
      <c r="H889" t="s">
        <v>42</v>
      </c>
      <c r="I889" s="2">
        <v>45102</v>
      </c>
      <c r="J889" t="s">
        <v>1041</v>
      </c>
      <c r="K889" t="s">
        <v>23</v>
      </c>
      <c r="L889" t="s">
        <v>174</v>
      </c>
      <c r="M889" t="s">
        <v>21</v>
      </c>
      <c r="N889" t="str">
        <f t="shared" si="27"/>
        <v>June</v>
      </c>
    </row>
    <row r="890" spans="1:14" x14ac:dyDescent="0.3">
      <c r="A890" t="s">
        <v>1042</v>
      </c>
      <c r="B890" s="1">
        <v>8681</v>
      </c>
      <c r="C890" s="1">
        <f t="shared" si="26"/>
        <v>6223</v>
      </c>
      <c r="D890">
        <v>2458</v>
      </c>
      <c r="E890">
        <v>9</v>
      </c>
      <c r="F890" t="s">
        <v>32</v>
      </c>
      <c r="G890" t="s">
        <v>33</v>
      </c>
      <c r="H890" t="s">
        <v>49</v>
      </c>
      <c r="I890" s="2">
        <v>44075</v>
      </c>
      <c r="J890" t="s">
        <v>1043</v>
      </c>
      <c r="K890" t="s">
        <v>27</v>
      </c>
      <c r="L890" t="s">
        <v>53</v>
      </c>
      <c r="M890" t="s">
        <v>391</v>
      </c>
      <c r="N890" t="str">
        <f t="shared" si="27"/>
        <v>September</v>
      </c>
    </row>
    <row r="891" spans="1:14" x14ac:dyDescent="0.3">
      <c r="A891" t="s">
        <v>1044</v>
      </c>
      <c r="B891" s="1">
        <v>6195</v>
      </c>
      <c r="C891" s="1">
        <f t="shared" si="26"/>
        <v>4639</v>
      </c>
      <c r="D891">
        <v>1556</v>
      </c>
      <c r="E891">
        <v>18</v>
      </c>
      <c r="F891" t="s">
        <v>47</v>
      </c>
      <c r="G891" t="s">
        <v>62</v>
      </c>
      <c r="H891" t="s">
        <v>42</v>
      </c>
      <c r="I891" s="2">
        <v>45689</v>
      </c>
      <c r="J891" t="s">
        <v>1045</v>
      </c>
      <c r="K891" t="s">
        <v>23</v>
      </c>
      <c r="L891" t="s">
        <v>65</v>
      </c>
      <c r="M891" t="s">
        <v>75</v>
      </c>
      <c r="N891" t="str">
        <f t="shared" si="27"/>
        <v>February</v>
      </c>
    </row>
    <row r="892" spans="1:14" x14ac:dyDescent="0.3">
      <c r="A892" t="s">
        <v>1046</v>
      </c>
      <c r="B892" s="1">
        <v>3877</v>
      </c>
      <c r="C892" s="1">
        <f t="shared" si="26"/>
        <v>3396</v>
      </c>
      <c r="D892">
        <v>481</v>
      </c>
      <c r="E892">
        <v>16</v>
      </c>
      <c r="F892" t="s">
        <v>47</v>
      </c>
      <c r="G892" t="s">
        <v>51</v>
      </c>
      <c r="H892" t="s">
        <v>34</v>
      </c>
      <c r="I892" s="2">
        <v>45129</v>
      </c>
      <c r="J892" t="s">
        <v>1047</v>
      </c>
      <c r="K892" t="s">
        <v>27</v>
      </c>
      <c r="L892" t="s">
        <v>70</v>
      </c>
      <c r="M892" t="s">
        <v>107</v>
      </c>
      <c r="N892" t="str">
        <f t="shared" si="27"/>
        <v>July</v>
      </c>
    </row>
    <row r="893" spans="1:14" x14ac:dyDescent="0.3">
      <c r="A893" t="s">
        <v>1046</v>
      </c>
      <c r="B893" s="1">
        <v>3877</v>
      </c>
      <c r="C893" s="1">
        <f t="shared" si="26"/>
        <v>3396</v>
      </c>
      <c r="D893">
        <v>481</v>
      </c>
      <c r="E893">
        <v>16</v>
      </c>
      <c r="F893" t="s">
        <v>47</v>
      </c>
      <c r="G893" t="s">
        <v>51</v>
      </c>
      <c r="H893" t="s">
        <v>34</v>
      </c>
      <c r="I893" s="2">
        <v>44596</v>
      </c>
      <c r="J893" t="s">
        <v>1048</v>
      </c>
      <c r="K893" t="s">
        <v>27</v>
      </c>
      <c r="L893" t="s">
        <v>53</v>
      </c>
      <c r="M893" t="s">
        <v>139</v>
      </c>
      <c r="N893" t="str">
        <f t="shared" si="27"/>
        <v>February</v>
      </c>
    </row>
    <row r="894" spans="1:14" x14ac:dyDescent="0.3">
      <c r="A894" t="s">
        <v>1049</v>
      </c>
      <c r="B894" s="1">
        <v>9369</v>
      </c>
      <c r="C894" s="1">
        <f t="shared" si="26"/>
        <v>6072</v>
      </c>
      <c r="D894">
        <v>3297</v>
      </c>
      <c r="E894">
        <v>6</v>
      </c>
      <c r="F894" t="s">
        <v>15</v>
      </c>
      <c r="G894" t="s">
        <v>30</v>
      </c>
      <c r="H894" t="s">
        <v>34</v>
      </c>
      <c r="I894" s="2">
        <v>45196</v>
      </c>
      <c r="J894" t="s">
        <v>1050</v>
      </c>
      <c r="K894" t="s">
        <v>19</v>
      </c>
      <c r="L894" t="s">
        <v>36</v>
      </c>
      <c r="M894" t="s">
        <v>275</v>
      </c>
      <c r="N894" t="str">
        <f t="shared" si="27"/>
        <v>September</v>
      </c>
    </row>
    <row r="895" spans="1:14" x14ac:dyDescent="0.3">
      <c r="A895" t="s">
        <v>1049</v>
      </c>
      <c r="B895" s="1">
        <v>9369</v>
      </c>
      <c r="C895" s="1">
        <f t="shared" si="26"/>
        <v>6072</v>
      </c>
      <c r="D895">
        <v>3297</v>
      </c>
      <c r="E895">
        <v>6</v>
      </c>
      <c r="F895" t="s">
        <v>15</v>
      </c>
      <c r="G895" t="s">
        <v>30</v>
      </c>
      <c r="H895" t="s">
        <v>34</v>
      </c>
      <c r="I895" s="2">
        <v>45687</v>
      </c>
      <c r="J895" t="s">
        <v>1051</v>
      </c>
      <c r="K895" t="s">
        <v>27</v>
      </c>
      <c r="L895" t="s">
        <v>53</v>
      </c>
      <c r="M895" t="s">
        <v>310</v>
      </c>
      <c r="N895" t="str">
        <f t="shared" si="27"/>
        <v>January</v>
      </c>
    </row>
    <row r="896" spans="1:14" x14ac:dyDescent="0.3">
      <c r="A896" t="s">
        <v>1049</v>
      </c>
      <c r="B896" s="1">
        <v>8680</v>
      </c>
      <c r="C896" s="1">
        <f t="shared" si="26"/>
        <v>4612</v>
      </c>
      <c r="D896">
        <v>4068</v>
      </c>
      <c r="E896">
        <v>20</v>
      </c>
      <c r="F896" t="s">
        <v>15</v>
      </c>
      <c r="G896" t="s">
        <v>30</v>
      </c>
      <c r="H896" t="s">
        <v>49</v>
      </c>
      <c r="I896" s="2">
        <v>45196</v>
      </c>
      <c r="J896" t="s">
        <v>1050</v>
      </c>
      <c r="K896" t="s">
        <v>19</v>
      </c>
      <c r="L896" t="s">
        <v>36</v>
      </c>
      <c r="M896" t="s">
        <v>275</v>
      </c>
      <c r="N896" t="str">
        <f t="shared" si="27"/>
        <v>September</v>
      </c>
    </row>
    <row r="897" spans="1:14" x14ac:dyDescent="0.3">
      <c r="A897" t="s">
        <v>1049</v>
      </c>
      <c r="B897" s="1">
        <v>8680</v>
      </c>
      <c r="C897" s="1">
        <f t="shared" si="26"/>
        <v>4612</v>
      </c>
      <c r="D897">
        <v>4068</v>
      </c>
      <c r="E897">
        <v>20</v>
      </c>
      <c r="F897" t="s">
        <v>15</v>
      </c>
      <c r="G897" t="s">
        <v>30</v>
      </c>
      <c r="H897" t="s">
        <v>49</v>
      </c>
      <c r="I897" s="2">
        <v>45687</v>
      </c>
      <c r="J897" t="s">
        <v>1051</v>
      </c>
      <c r="K897" t="s">
        <v>27</v>
      </c>
      <c r="L897" t="s">
        <v>53</v>
      </c>
      <c r="M897" t="s">
        <v>310</v>
      </c>
      <c r="N897" t="str">
        <f t="shared" si="27"/>
        <v>January</v>
      </c>
    </row>
    <row r="898" spans="1:14" x14ac:dyDescent="0.3">
      <c r="A898" t="s">
        <v>1049</v>
      </c>
      <c r="B898" s="1">
        <v>3067</v>
      </c>
      <c r="C898" s="1">
        <f t="shared" ref="C898:C961" si="28">B898-D898</f>
        <v>1592</v>
      </c>
      <c r="D898">
        <v>1475</v>
      </c>
      <c r="E898">
        <v>8</v>
      </c>
      <c r="F898" t="s">
        <v>15</v>
      </c>
      <c r="G898" t="s">
        <v>41</v>
      </c>
      <c r="H898" t="s">
        <v>17</v>
      </c>
      <c r="I898" s="2">
        <v>45196</v>
      </c>
      <c r="J898" t="s">
        <v>1050</v>
      </c>
      <c r="K898" t="s">
        <v>19</v>
      </c>
      <c r="L898" t="s">
        <v>36</v>
      </c>
      <c r="M898" t="s">
        <v>275</v>
      </c>
      <c r="N898" t="str">
        <f t="shared" si="27"/>
        <v>September</v>
      </c>
    </row>
    <row r="899" spans="1:14" x14ac:dyDescent="0.3">
      <c r="A899" t="s">
        <v>1049</v>
      </c>
      <c r="B899" s="1">
        <v>3067</v>
      </c>
      <c r="C899" s="1">
        <f t="shared" si="28"/>
        <v>1592</v>
      </c>
      <c r="D899">
        <v>1475</v>
      </c>
      <c r="E899">
        <v>8</v>
      </c>
      <c r="F899" t="s">
        <v>15</v>
      </c>
      <c r="G899" t="s">
        <v>41</v>
      </c>
      <c r="H899" t="s">
        <v>17</v>
      </c>
      <c r="I899" s="2">
        <v>45687</v>
      </c>
      <c r="J899" t="s">
        <v>1051</v>
      </c>
      <c r="K899" t="s">
        <v>27</v>
      </c>
      <c r="L899" t="s">
        <v>53</v>
      </c>
      <c r="M899" t="s">
        <v>310</v>
      </c>
      <c r="N899" t="str">
        <f t="shared" ref="N899:N962" si="29">TEXT(DATE(LEFT(M899,4),RIGHT(M899,2),1),"mmmm")</f>
        <v>January</v>
      </c>
    </row>
    <row r="900" spans="1:14" x14ac:dyDescent="0.3">
      <c r="A900" t="s">
        <v>1052</v>
      </c>
      <c r="B900" s="1">
        <v>9002</v>
      </c>
      <c r="C900" s="1">
        <f t="shared" si="28"/>
        <v>4805</v>
      </c>
      <c r="D900">
        <v>4197</v>
      </c>
      <c r="E900">
        <v>2</v>
      </c>
      <c r="F900" t="s">
        <v>32</v>
      </c>
      <c r="G900" t="s">
        <v>59</v>
      </c>
      <c r="H900" t="s">
        <v>42</v>
      </c>
      <c r="I900" s="2">
        <v>45672</v>
      </c>
      <c r="J900" t="s">
        <v>1053</v>
      </c>
      <c r="K900" t="s">
        <v>100</v>
      </c>
      <c r="L900" t="s">
        <v>109</v>
      </c>
      <c r="M900" t="s">
        <v>310</v>
      </c>
      <c r="N900" t="str">
        <f t="shared" si="29"/>
        <v>January</v>
      </c>
    </row>
    <row r="901" spans="1:14" x14ac:dyDescent="0.3">
      <c r="A901" t="s">
        <v>1052</v>
      </c>
      <c r="B901" s="1">
        <v>9002</v>
      </c>
      <c r="C901" s="1">
        <f t="shared" si="28"/>
        <v>4805</v>
      </c>
      <c r="D901">
        <v>4197</v>
      </c>
      <c r="E901">
        <v>2</v>
      </c>
      <c r="F901" t="s">
        <v>32</v>
      </c>
      <c r="G901" t="s">
        <v>59</v>
      </c>
      <c r="H901" t="s">
        <v>42</v>
      </c>
      <c r="I901" s="2">
        <v>44283</v>
      </c>
      <c r="J901" t="s">
        <v>1054</v>
      </c>
      <c r="K901" t="s">
        <v>100</v>
      </c>
      <c r="L901" t="s">
        <v>101</v>
      </c>
      <c r="M901" t="s">
        <v>169</v>
      </c>
      <c r="N901" t="str">
        <f t="shared" si="29"/>
        <v>March</v>
      </c>
    </row>
    <row r="902" spans="1:14" x14ac:dyDescent="0.3">
      <c r="A902" t="s">
        <v>1055</v>
      </c>
      <c r="B902" s="1">
        <v>7105</v>
      </c>
      <c r="C902" s="1">
        <f t="shared" si="28"/>
        <v>4323</v>
      </c>
      <c r="D902">
        <v>2782</v>
      </c>
      <c r="E902">
        <v>19</v>
      </c>
      <c r="F902" t="s">
        <v>32</v>
      </c>
      <c r="G902" t="s">
        <v>33</v>
      </c>
      <c r="H902" t="s">
        <v>67</v>
      </c>
      <c r="I902" s="2">
        <v>44555</v>
      </c>
      <c r="J902" t="s">
        <v>1056</v>
      </c>
      <c r="K902" t="s">
        <v>100</v>
      </c>
      <c r="L902" t="s">
        <v>101</v>
      </c>
      <c r="M902" t="s">
        <v>92</v>
      </c>
      <c r="N902" t="str">
        <f t="shared" si="29"/>
        <v>December</v>
      </c>
    </row>
    <row r="903" spans="1:14" x14ac:dyDescent="0.3">
      <c r="A903" t="s">
        <v>1057</v>
      </c>
      <c r="B903" s="1">
        <v>5317</v>
      </c>
      <c r="C903" s="1">
        <f t="shared" si="28"/>
        <v>3972</v>
      </c>
      <c r="D903">
        <v>1345</v>
      </c>
      <c r="E903">
        <v>18</v>
      </c>
      <c r="F903" t="s">
        <v>47</v>
      </c>
      <c r="G903" t="s">
        <v>51</v>
      </c>
      <c r="H903" t="s">
        <v>34</v>
      </c>
      <c r="I903" s="2">
        <v>44960</v>
      </c>
      <c r="J903" t="s">
        <v>1058</v>
      </c>
      <c r="K903" t="s">
        <v>100</v>
      </c>
      <c r="L903" t="s">
        <v>101</v>
      </c>
      <c r="M903" t="s">
        <v>95</v>
      </c>
      <c r="N903" t="str">
        <f t="shared" si="29"/>
        <v>February</v>
      </c>
    </row>
    <row r="904" spans="1:14" x14ac:dyDescent="0.3">
      <c r="A904" t="s">
        <v>1057</v>
      </c>
      <c r="B904" s="1">
        <v>5317</v>
      </c>
      <c r="C904" s="1">
        <f t="shared" si="28"/>
        <v>3972</v>
      </c>
      <c r="D904">
        <v>1345</v>
      </c>
      <c r="E904">
        <v>18</v>
      </c>
      <c r="F904" t="s">
        <v>47</v>
      </c>
      <c r="G904" t="s">
        <v>51</v>
      </c>
      <c r="H904" t="s">
        <v>34</v>
      </c>
      <c r="I904" s="2">
        <v>45044</v>
      </c>
      <c r="J904" t="s">
        <v>1059</v>
      </c>
      <c r="K904" t="s">
        <v>19</v>
      </c>
      <c r="L904" t="s">
        <v>36</v>
      </c>
      <c r="M904" t="s">
        <v>147</v>
      </c>
      <c r="N904" t="str">
        <f t="shared" si="29"/>
        <v>April</v>
      </c>
    </row>
    <row r="905" spans="1:14" x14ac:dyDescent="0.3">
      <c r="A905" t="s">
        <v>1057</v>
      </c>
      <c r="B905" s="1">
        <v>5317</v>
      </c>
      <c r="C905" s="1">
        <f t="shared" si="28"/>
        <v>3972</v>
      </c>
      <c r="D905">
        <v>1345</v>
      </c>
      <c r="E905">
        <v>18</v>
      </c>
      <c r="F905" t="s">
        <v>47</v>
      </c>
      <c r="G905" t="s">
        <v>51</v>
      </c>
      <c r="H905" t="s">
        <v>34</v>
      </c>
      <c r="I905" s="2">
        <v>45618</v>
      </c>
      <c r="J905" t="s">
        <v>1060</v>
      </c>
      <c r="K905" t="s">
        <v>44</v>
      </c>
      <c r="L905" t="s">
        <v>94</v>
      </c>
      <c r="M905" t="s">
        <v>257</v>
      </c>
      <c r="N905" t="str">
        <f t="shared" si="29"/>
        <v>November</v>
      </c>
    </row>
    <row r="906" spans="1:14" x14ac:dyDescent="0.3">
      <c r="A906" t="s">
        <v>1057</v>
      </c>
      <c r="B906" s="1">
        <v>6304</v>
      </c>
      <c r="C906" s="1">
        <f t="shared" si="28"/>
        <v>5538</v>
      </c>
      <c r="D906">
        <v>766</v>
      </c>
      <c r="E906">
        <v>14</v>
      </c>
      <c r="F906" t="s">
        <v>47</v>
      </c>
      <c r="G906" t="s">
        <v>48</v>
      </c>
      <c r="H906" t="s">
        <v>42</v>
      </c>
      <c r="I906" s="2">
        <v>44960</v>
      </c>
      <c r="J906" t="s">
        <v>1058</v>
      </c>
      <c r="K906" t="s">
        <v>100</v>
      </c>
      <c r="L906" t="s">
        <v>101</v>
      </c>
      <c r="M906" t="s">
        <v>95</v>
      </c>
      <c r="N906" t="str">
        <f t="shared" si="29"/>
        <v>February</v>
      </c>
    </row>
    <row r="907" spans="1:14" x14ac:dyDescent="0.3">
      <c r="A907" t="s">
        <v>1057</v>
      </c>
      <c r="B907" s="1">
        <v>6304</v>
      </c>
      <c r="C907" s="1">
        <f t="shared" si="28"/>
        <v>5538</v>
      </c>
      <c r="D907">
        <v>766</v>
      </c>
      <c r="E907">
        <v>14</v>
      </c>
      <c r="F907" t="s">
        <v>47</v>
      </c>
      <c r="G907" t="s">
        <v>48</v>
      </c>
      <c r="H907" t="s">
        <v>42</v>
      </c>
      <c r="I907" s="2">
        <v>45044</v>
      </c>
      <c r="J907" t="s">
        <v>1059</v>
      </c>
      <c r="K907" t="s">
        <v>19</v>
      </c>
      <c r="L907" t="s">
        <v>36</v>
      </c>
      <c r="M907" t="s">
        <v>147</v>
      </c>
      <c r="N907" t="str">
        <f t="shared" si="29"/>
        <v>April</v>
      </c>
    </row>
    <row r="908" spans="1:14" x14ac:dyDescent="0.3">
      <c r="A908" t="s">
        <v>1057</v>
      </c>
      <c r="B908" s="1">
        <v>6304</v>
      </c>
      <c r="C908" s="1">
        <f t="shared" si="28"/>
        <v>5538</v>
      </c>
      <c r="D908">
        <v>766</v>
      </c>
      <c r="E908">
        <v>14</v>
      </c>
      <c r="F908" t="s">
        <v>47</v>
      </c>
      <c r="G908" t="s">
        <v>48</v>
      </c>
      <c r="H908" t="s">
        <v>42</v>
      </c>
      <c r="I908" s="2">
        <v>45618</v>
      </c>
      <c r="J908" t="s">
        <v>1060</v>
      </c>
      <c r="K908" t="s">
        <v>44</v>
      </c>
      <c r="L908" t="s">
        <v>94</v>
      </c>
      <c r="M908" t="s">
        <v>257</v>
      </c>
      <c r="N908" t="str">
        <f t="shared" si="29"/>
        <v>November</v>
      </c>
    </row>
    <row r="909" spans="1:14" x14ac:dyDescent="0.3">
      <c r="A909" t="s">
        <v>1061</v>
      </c>
      <c r="B909" s="1">
        <v>9565</v>
      </c>
      <c r="C909" s="1">
        <f t="shared" si="28"/>
        <v>7874</v>
      </c>
      <c r="D909">
        <v>1691</v>
      </c>
      <c r="E909">
        <v>3</v>
      </c>
      <c r="F909" t="s">
        <v>32</v>
      </c>
      <c r="G909" t="s">
        <v>66</v>
      </c>
      <c r="H909" t="s">
        <v>34</v>
      </c>
      <c r="I909" s="2">
        <v>45475</v>
      </c>
      <c r="J909" t="s">
        <v>1062</v>
      </c>
      <c r="K909" t="s">
        <v>23</v>
      </c>
      <c r="L909" t="s">
        <v>65</v>
      </c>
      <c r="M909" t="s">
        <v>217</v>
      </c>
      <c r="N909" t="str">
        <f t="shared" si="29"/>
        <v>July</v>
      </c>
    </row>
    <row r="910" spans="1:14" x14ac:dyDescent="0.3">
      <c r="A910" t="s">
        <v>1061</v>
      </c>
      <c r="B910" s="1">
        <v>8245</v>
      </c>
      <c r="C910" s="1">
        <f t="shared" si="28"/>
        <v>7921</v>
      </c>
      <c r="D910">
        <v>324</v>
      </c>
      <c r="E910">
        <v>11</v>
      </c>
      <c r="F910" t="s">
        <v>32</v>
      </c>
      <c r="G910" t="s">
        <v>66</v>
      </c>
      <c r="H910" t="s">
        <v>42</v>
      </c>
      <c r="I910" s="2">
        <v>45475</v>
      </c>
      <c r="J910" t="s">
        <v>1062</v>
      </c>
      <c r="K910" t="s">
        <v>23</v>
      </c>
      <c r="L910" t="s">
        <v>65</v>
      </c>
      <c r="M910" t="s">
        <v>217</v>
      </c>
      <c r="N910" t="str">
        <f t="shared" si="29"/>
        <v>July</v>
      </c>
    </row>
    <row r="911" spans="1:14" x14ac:dyDescent="0.3">
      <c r="A911" t="s">
        <v>1063</v>
      </c>
      <c r="B911" s="1">
        <v>1592</v>
      </c>
      <c r="C911" s="1">
        <f t="shared" si="28"/>
        <v>1112</v>
      </c>
      <c r="D911">
        <v>480</v>
      </c>
      <c r="E911">
        <v>13</v>
      </c>
      <c r="F911" t="s">
        <v>15</v>
      </c>
      <c r="G911" t="s">
        <v>41</v>
      </c>
      <c r="H911" t="s">
        <v>34</v>
      </c>
      <c r="I911" s="2">
        <v>44579</v>
      </c>
      <c r="J911" t="s">
        <v>1064</v>
      </c>
      <c r="K911" t="s">
        <v>100</v>
      </c>
      <c r="L911" t="s">
        <v>119</v>
      </c>
      <c r="M911" t="s">
        <v>89</v>
      </c>
      <c r="N911" t="str">
        <f t="shared" si="29"/>
        <v>January</v>
      </c>
    </row>
    <row r="912" spans="1:14" x14ac:dyDescent="0.3">
      <c r="A912" t="s">
        <v>1065</v>
      </c>
      <c r="B912" s="1">
        <v>8400</v>
      </c>
      <c r="C912" s="1">
        <f t="shared" si="28"/>
        <v>8133</v>
      </c>
      <c r="D912">
        <v>267</v>
      </c>
      <c r="E912">
        <v>5</v>
      </c>
      <c r="F912" t="s">
        <v>15</v>
      </c>
      <c r="G912" t="s">
        <v>84</v>
      </c>
      <c r="H912" t="s">
        <v>34</v>
      </c>
      <c r="I912" s="2">
        <v>45573</v>
      </c>
      <c r="J912" t="s">
        <v>1066</v>
      </c>
      <c r="K912" t="s">
        <v>100</v>
      </c>
      <c r="L912" t="s">
        <v>101</v>
      </c>
      <c r="M912" t="s">
        <v>362</v>
      </c>
      <c r="N912" t="str">
        <f t="shared" si="29"/>
        <v>October</v>
      </c>
    </row>
    <row r="913" spans="1:14" x14ac:dyDescent="0.3">
      <c r="A913" t="s">
        <v>1065</v>
      </c>
      <c r="B913" s="1">
        <v>4963</v>
      </c>
      <c r="C913" s="1">
        <f t="shared" si="28"/>
        <v>3709</v>
      </c>
      <c r="D913">
        <v>1254</v>
      </c>
      <c r="E913">
        <v>15</v>
      </c>
      <c r="F913" t="s">
        <v>32</v>
      </c>
      <c r="G913" t="s">
        <v>66</v>
      </c>
      <c r="H913" t="s">
        <v>42</v>
      </c>
      <c r="I913" s="2">
        <v>45573</v>
      </c>
      <c r="J913" t="s">
        <v>1066</v>
      </c>
      <c r="K913" t="s">
        <v>100</v>
      </c>
      <c r="L913" t="s">
        <v>101</v>
      </c>
      <c r="M913" t="s">
        <v>362</v>
      </c>
      <c r="N913" t="str">
        <f t="shared" si="29"/>
        <v>October</v>
      </c>
    </row>
    <row r="914" spans="1:14" x14ac:dyDescent="0.3">
      <c r="A914" t="s">
        <v>1067</v>
      </c>
      <c r="B914" s="1">
        <v>2472</v>
      </c>
      <c r="C914" s="1">
        <f t="shared" si="28"/>
        <v>2261</v>
      </c>
      <c r="D914">
        <v>211</v>
      </c>
      <c r="E914">
        <v>5</v>
      </c>
      <c r="F914" t="s">
        <v>15</v>
      </c>
      <c r="G914" t="s">
        <v>30</v>
      </c>
      <c r="H914" t="s">
        <v>67</v>
      </c>
      <c r="I914" s="2">
        <v>44003</v>
      </c>
      <c r="J914" t="s">
        <v>1068</v>
      </c>
      <c r="K914" t="s">
        <v>44</v>
      </c>
      <c r="L914" t="s">
        <v>77</v>
      </c>
      <c r="M914" t="s">
        <v>315</v>
      </c>
      <c r="N914" t="str">
        <f t="shared" si="29"/>
        <v>June</v>
      </c>
    </row>
    <row r="915" spans="1:14" x14ac:dyDescent="0.3">
      <c r="A915" t="s">
        <v>1069</v>
      </c>
      <c r="B915" s="1">
        <v>9132</v>
      </c>
      <c r="C915" s="1">
        <f t="shared" si="28"/>
        <v>6036</v>
      </c>
      <c r="D915">
        <v>3096</v>
      </c>
      <c r="E915">
        <v>14</v>
      </c>
      <c r="F915" t="s">
        <v>47</v>
      </c>
      <c r="G915" t="s">
        <v>51</v>
      </c>
      <c r="H915" t="s">
        <v>34</v>
      </c>
      <c r="I915" s="2">
        <v>45274</v>
      </c>
      <c r="J915" t="s">
        <v>1070</v>
      </c>
      <c r="K915" t="s">
        <v>19</v>
      </c>
      <c r="L915" t="s">
        <v>152</v>
      </c>
      <c r="M915" t="s">
        <v>104</v>
      </c>
      <c r="N915" t="str">
        <f t="shared" si="29"/>
        <v>December</v>
      </c>
    </row>
    <row r="916" spans="1:14" x14ac:dyDescent="0.3">
      <c r="A916" t="s">
        <v>1071</v>
      </c>
      <c r="B916" s="1">
        <v>8305</v>
      </c>
      <c r="C916" s="1">
        <f t="shared" si="28"/>
        <v>6728</v>
      </c>
      <c r="D916">
        <v>1577</v>
      </c>
      <c r="E916">
        <v>6</v>
      </c>
      <c r="F916" t="s">
        <v>32</v>
      </c>
      <c r="G916" t="s">
        <v>80</v>
      </c>
      <c r="H916" t="s">
        <v>34</v>
      </c>
      <c r="I916" s="2">
        <v>44181</v>
      </c>
      <c r="J916" t="s">
        <v>1072</v>
      </c>
      <c r="K916" t="s">
        <v>27</v>
      </c>
      <c r="L916" t="s">
        <v>70</v>
      </c>
      <c r="M916" t="s">
        <v>289</v>
      </c>
      <c r="N916" t="str">
        <f t="shared" si="29"/>
        <v>December</v>
      </c>
    </row>
    <row r="917" spans="1:14" x14ac:dyDescent="0.3">
      <c r="A917" t="s">
        <v>1073</v>
      </c>
      <c r="B917" s="1">
        <v>1010</v>
      </c>
      <c r="C917" s="1">
        <f t="shared" si="28"/>
        <v>952</v>
      </c>
      <c r="D917">
        <v>58</v>
      </c>
      <c r="E917">
        <v>19</v>
      </c>
      <c r="F917" t="s">
        <v>15</v>
      </c>
      <c r="G917" t="s">
        <v>16</v>
      </c>
      <c r="H917" t="s">
        <v>67</v>
      </c>
      <c r="I917" s="2">
        <v>45731</v>
      </c>
      <c r="J917" t="s">
        <v>1074</v>
      </c>
      <c r="K917" t="s">
        <v>19</v>
      </c>
      <c r="L917" t="s">
        <v>152</v>
      </c>
      <c r="M917" t="s">
        <v>159</v>
      </c>
      <c r="N917" t="str">
        <f t="shared" si="29"/>
        <v>March</v>
      </c>
    </row>
    <row r="918" spans="1:14" x14ac:dyDescent="0.3">
      <c r="A918" t="s">
        <v>1075</v>
      </c>
      <c r="B918" s="1">
        <v>4544</v>
      </c>
      <c r="C918" s="1">
        <f t="shared" si="28"/>
        <v>2818</v>
      </c>
      <c r="D918">
        <v>1726</v>
      </c>
      <c r="E918">
        <v>9</v>
      </c>
      <c r="F918" t="s">
        <v>15</v>
      </c>
      <c r="G918" t="s">
        <v>84</v>
      </c>
      <c r="H918" t="s">
        <v>42</v>
      </c>
      <c r="I918" s="2">
        <v>45525</v>
      </c>
      <c r="J918" t="s">
        <v>1076</v>
      </c>
      <c r="K918" t="s">
        <v>73</v>
      </c>
      <c r="L918" t="s">
        <v>74</v>
      </c>
      <c r="M918" t="s">
        <v>116</v>
      </c>
      <c r="N918" t="str">
        <f t="shared" si="29"/>
        <v>August</v>
      </c>
    </row>
    <row r="919" spans="1:14" x14ac:dyDescent="0.3">
      <c r="A919" t="s">
        <v>1075</v>
      </c>
      <c r="B919" s="1">
        <v>5900</v>
      </c>
      <c r="C919" s="1">
        <f t="shared" si="28"/>
        <v>4162</v>
      </c>
      <c r="D919">
        <v>1738</v>
      </c>
      <c r="E919">
        <v>20</v>
      </c>
      <c r="F919" t="s">
        <v>15</v>
      </c>
      <c r="G919" t="s">
        <v>84</v>
      </c>
      <c r="H919" t="s">
        <v>17</v>
      </c>
      <c r="I919" s="2">
        <v>45525</v>
      </c>
      <c r="J919" t="s">
        <v>1076</v>
      </c>
      <c r="K919" t="s">
        <v>73</v>
      </c>
      <c r="L919" t="s">
        <v>74</v>
      </c>
      <c r="M919" t="s">
        <v>116</v>
      </c>
      <c r="N919" t="str">
        <f t="shared" si="29"/>
        <v>August</v>
      </c>
    </row>
    <row r="920" spans="1:14" x14ac:dyDescent="0.3">
      <c r="A920" t="s">
        <v>1077</v>
      </c>
      <c r="B920" s="1">
        <v>8861</v>
      </c>
      <c r="C920" s="1">
        <f t="shared" si="28"/>
        <v>5480</v>
      </c>
      <c r="D920">
        <v>3381</v>
      </c>
      <c r="E920">
        <v>19</v>
      </c>
      <c r="F920" t="s">
        <v>32</v>
      </c>
      <c r="G920" t="s">
        <v>59</v>
      </c>
      <c r="H920" t="s">
        <v>49</v>
      </c>
      <c r="I920" s="2">
        <v>44343</v>
      </c>
      <c r="J920" t="s">
        <v>1078</v>
      </c>
      <c r="K920" t="s">
        <v>44</v>
      </c>
      <c r="L920" t="s">
        <v>77</v>
      </c>
      <c r="M920" t="s">
        <v>110</v>
      </c>
      <c r="N920" t="str">
        <f t="shared" si="29"/>
        <v>May</v>
      </c>
    </row>
    <row r="921" spans="1:14" x14ac:dyDescent="0.3">
      <c r="A921" t="s">
        <v>1079</v>
      </c>
      <c r="B921" s="1">
        <v>8158</v>
      </c>
      <c r="C921" s="1">
        <f t="shared" si="28"/>
        <v>6106</v>
      </c>
      <c r="D921">
        <v>2052</v>
      </c>
      <c r="E921">
        <v>13</v>
      </c>
      <c r="F921" t="s">
        <v>15</v>
      </c>
      <c r="G921" t="s">
        <v>84</v>
      </c>
      <c r="H921" t="s">
        <v>34</v>
      </c>
      <c r="I921" s="2">
        <v>44095</v>
      </c>
      <c r="J921" t="s">
        <v>1080</v>
      </c>
      <c r="K921" t="s">
        <v>100</v>
      </c>
      <c r="L921" t="s">
        <v>109</v>
      </c>
      <c r="M921" t="s">
        <v>391</v>
      </c>
      <c r="N921" t="str">
        <f t="shared" si="29"/>
        <v>September</v>
      </c>
    </row>
    <row r="922" spans="1:14" x14ac:dyDescent="0.3">
      <c r="A922" t="s">
        <v>1081</v>
      </c>
      <c r="B922" s="1">
        <v>3411</v>
      </c>
      <c r="C922" s="1">
        <f t="shared" si="28"/>
        <v>1707</v>
      </c>
      <c r="D922">
        <v>1704</v>
      </c>
      <c r="E922">
        <v>14</v>
      </c>
      <c r="F922" t="s">
        <v>32</v>
      </c>
      <c r="G922" t="s">
        <v>33</v>
      </c>
      <c r="H922" t="s">
        <v>17</v>
      </c>
      <c r="I922" s="2">
        <v>45668</v>
      </c>
      <c r="J922" t="s">
        <v>1082</v>
      </c>
      <c r="K922" t="s">
        <v>44</v>
      </c>
      <c r="L922" t="s">
        <v>45</v>
      </c>
      <c r="M922" t="s">
        <v>310</v>
      </c>
      <c r="N922" t="str">
        <f t="shared" si="29"/>
        <v>January</v>
      </c>
    </row>
    <row r="923" spans="1:14" x14ac:dyDescent="0.3">
      <c r="A923" t="s">
        <v>1083</v>
      </c>
      <c r="B923" s="1">
        <v>9406</v>
      </c>
      <c r="C923" s="1">
        <f t="shared" si="28"/>
        <v>8269</v>
      </c>
      <c r="D923">
        <v>1137</v>
      </c>
      <c r="E923">
        <v>16</v>
      </c>
      <c r="F923" t="s">
        <v>32</v>
      </c>
      <c r="G923" t="s">
        <v>59</v>
      </c>
      <c r="H923" t="s">
        <v>17</v>
      </c>
      <c r="I923" s="2">
        <v>44489</v>
      </c>
      <c r="J923" t="s">
        <v>1084</v>
      </c>
      <c r="K923" t="s">
        <v>73</v>
      </c>
      <c r="L923" t="s">
        <v>140</v>
      </c>
      <c r="M923" t="s">
        <v>39</v>
      </c>
      <c r="N923" t="str">
        <f t="shared" si="29"/>
        <v>October</v>
      </c>
    </row>
    <row r="924" spans="1:14" x14ac:dyDescent="0.3">
      <c r="A924" t="s">
        <v>1083</v>
      </c>
      <c r="B924" s="1">
        <v>1156</v>
      </c>
      <c r="C924" s="1">
        <f t="shared" si="28"/>
        <v>1082</v>
      </c>
      <c r="D924">
        <v>74</v>
      </c>
      <c r="E924">
        <v>15</v>
      </c>
      <c r="F924" t="s">
        <v>15</v>
      </c>
      <c r="G924" t="s">
        <v>30</v>
      </c>
      <c r="H924" t="s">
        <v>42</v>
      </c>
      <c r="I924" s="2">
        <v>44489</v>
      </c>
      <c r="J924" t="s">
        <v>1084</v>
      </c>
      <c r="K924" t="s">
        <v>73</v>
      </c>
      <c r="L924" t="s">
        <v>140</v>
      </c>
      <c r="M924" t="s">
        <v>39</v>
      </c>
      <c r="N924" t="str">
        <f t="shared" si="29"/>
        <v>October</v>
      </c>
    </row>
    <row r="925" spans="1:14" x14ac:dyDescent="0.3">
      <c r="A925" t="s">
        <v>1085</v>
      </c>
      <c r="B925" s="1">
        <v>5354</v>
      </c>
      <c r="C925" s="1">
        <f t="shared" si="28"/>
        <v>4611</v>
      </c>
      <c r="D925">
        <v>743</v>
      </c>
      <c r="E925">
        <v>10</v>
      </c>
      <c r="F925" t="s">
        <v>47</v>
      </c>
      <c r="G925" t="s">
        <v>111</v>
      </c>
      <c r="H925" t="s">
        <v>17</v>
      </c>
      <c r="I925" s="2">
        <v>44488</v>
      </c>
      <c r="J925" t="s">
        <v>1086</v>
      </c>
      <c r="K925" t="s">
        <v>23</v>
      </c>
      <c r="L925" t="s">
        <v>65</v>
      </c>
      <c r="M925" t="s">
        <v>39</v>
      </c>
      <c r="N925" t="str">
        <f t="shared" si="29"/>
        <v>October</v>
      </c>
    </row>
    <row r="926" spans="1:14" x14ac:dyDescent="0.3">
      <c r="A926" t="s">
        <v>1087</v>
      </c>
      <c r="B926" s="1">
        <v>8780</v>
      </c>
      <c r="C926" s="1">
        <f t="shared" si="28"/>
        <v>5350</v>
      </c>
      <c r="D926">
        <v>3430</v>
      </c>
      <c r="E926">
        <v>4</v>
      </c>
      <c r="F926" t="s">
        <v>15</v>
      </c>
      <c r="G926" t="s">
        <v>16</v>
      </c>
      <c r="H926" t="s">
        <v>49</v>
      </c>
      <c r="I926" s="2">
        <v>45480</v>
      </c>
      <c r="J926" t="s">
        <v>1088</v>
      </c>
      <c r="K926" t="s">
        <v>73</v>
      </c>
      <c r="L926" t="s">
        <v>88</v>
      </c>
      <c r="M926" t="s">
        <v>217</v>
      </c>
      <c r="N926" t="str">
        <f t="shared" si="29"/>
        <v>July</v>
      </c>
    </row>
    <row r="927" spans="1:14" x14ac:dyDescent="0.3">
      <c r="A927" t="s">
        <v>1087</v>
      </c>
      <c r="B927" s="1">
        <v>8780</v>
      </c>
      <c r="C927" s="1">
        <f t="shared" si="28"/>
        <v>5350</v>
      </c>
      <c r="D927">
        <v>3430</v>
      </c>
      <c r="E927">
        <v>4</v>
      </c>
      <c r="F927" t="s">
        <v>15</v>
      </c>
      <c r="G927" t="s">
        <v>16</v>
      </c>
      <c r="H927" t="s">
        <v>49</v>
      </c>
      <c r="I927" s="2">
        <v>45132</v>
      </c>
      <c r="J927" t="s">
        <v>1089</v>
      </c>
      <c r="K927" t="s">
        <v>73</v>
      </c>
      <c r="L927" t="s">
        <v>88</v>
      </c>
      <c r="M927" t="s">
        <v>107</v>
      </c>
      <c r="N927" t="str">
        <f t="shared" si="29"/>
        <v>July</v>
      </c>
    </row>
    <row r="928" spans="1:14" x14ac:dyDescent="0.3">
      <c r="A928" t="s">
        <v>1090</v>
      </c>
      <c r="B928" s="1">
        <v>6783</v>
      </c>
      <c r="C928" s="1">
        <f t="shared" si="28"/>
        <v>3477</v>
      </c>
      <c r="D928">
        <v>3306</v>
      </c>
      <c r="E928">
        <v>8</v>
      </c>
      <c r="F928" t="s">
        <v>47</v>
      </c>
      <c r="G928" t="s">
        <v>62</v>
      </c>
      <c r="H928" t="s">
        <v>34</v>
      </c>
      <c r="I928" s="2">
        <v>43937</v>
      </c>
      <c r="J928" t="s">
        <v>1091</v>
      </c>
      <c r="K928" t="s">
        <v>100</v>
      </c>
      <c r="L928" t="s">
        <v>101</v>
      </c>
      <c r="M928" t="s">
        <v>164</v>
      </c>
      <c r="N928" t="str">
        <f t="shared" si="29"/>
        <v>April</v>
      </c>
    </row>
    <row r="929" spans="1:14" x14ac:dyDescent="0.3">
      <c r="A929" t="s">
        <v>1092</v>
      </c>
      <c r="B929" s="1">
        <v>1778</v>
      </c>
      <c r="C929" s="1">
        <f t="shared" si="28"/>
        <v>1493</v>
      </c>
      <c r="D929">
        <v>285</v>
      </c>
      <c r="E929">
        <v>4</v>
      </c>
      <c r="F929" t="s">
        <v>32</v>
      </c>
      <c r="G929" t="s">
        <v>33</v>
      </c>
      <c r="H929" t="s">
        <v>49</v>
      </c>
      <c r="I929" s="2">
        <v>44016</v>
      </c>
      <c r="J929" t="s">
        <v>1093</v>
      </c>
      <c r="K929" t="s">
        <v>27</v>
      </c>
      <c r="L929" t="s">
        <v>53</v>
      </c>
      <c r="M929" t="s">
        <v>464</v>
      </c>
      <c r="N929" t="str">
        <f t="shared" si="29"/>
        <v>July</v>
      </c>
    </row>
    <row r="930" spans="1:14" x14ac:dyDescent="0.3">
      <c r="A930" t="s">
        <v>1094</v>
      </c>
      <c r="B930" s="1">
        <v>9399</v>
      </c>
      <c r="C930" s="1">
        <f t="shared" si="28"/>
        <v>7450</v>
      </c>
      <c r="D930">
        <v>1949</v>
      </c>
      <c r="E930">
        <v>12</v>
      </c>
      <c r="F930" t="s">
        <v>15</v>
      </c>
      <c r="G930" t="s">
        <v>30</v>
      </c>
      <c r="H930" t="s">
        <v>17</v>
      </c>
      <c r="I930" s="2">
        <v>44697</v>
      </c>
      <c r="J930" t="s">
        <v>1095</v>
      </c>
      <c r="K930" t="s">
        <v>27</v>
      </c>
      <c r="L930" t="s">
        <v>70</v>
      </c>
      <c r="M930" t="s">
        <v>182</v>
      </c>
      <c r="N930" t="str">
        <f t="shared" si="29"/>
        <v>May</v>
      </c>
    </row>
    <row r="931" spans="1:14" x14ac:dyDescent="0.3">
      <c r="A931" t="s">
        <v>1094</v>
      </c>
      <c r="B931" s="1">
        <v>7957</v>
      </c>
      <c r="C931" s="1">
        <f t="shared" si="28"/>
        <v>6992</v>
      </c>
      <c r="D931">
        <v>965</v>
      </c>
      <c r="E931">
        <v>4</v>
      </c>
      <c r="F931" t="s">
        <v>47</v>
      </c>
      <c r="G931" t="s">
        <v>62</v>
      </c>
      <c r="H931" t="s">
        <v>49</v>
      </c>
      <c r="I931" s="2">
        <v>44697</v>
      </c>
      <c r="J931" t="s">
        <v>1095</v>
      </c>
      <c r="K931" t="s">
        <v>27</v>
      </c>
      <c r="L931" t="s">
        <v>70</v>
      </c>
      <c r="M931" t="s">
        <v>182</v>
      </c>
      <c r="N931" t="str">
        <f t="shared" si="29"/>
        <v>May</v>
      </c>
    </row>
    <row r="932" spans="1:14" x14ac:dyDescent="0.3">
      <c r="A932" t="s">
        <v>1096</v>
      </c>
      <c r="B932" s="1">
        <v>1638</v>
      </c>
      <c r="C932" s="1">
        <f t="shared" si="28"/>
        <v>977</v>
      </c>
      <c r="D932">
        <v>661</v>
      </c>
      <c r="E932">
        <v>13</v>
      </c>
      <c r="F932" t="s">
        <v>47</v>
      </c>
      <c r="G932" t="s">
        <v>51</v>
      </c>
      <c r="H932" t="s">
        <v>42</v>
      </c>
      <c r="I932" s="2">
        <v>45255</v>
      </c>
      <c r="J932" t="s">
        <v>1097</v>
      </c>
      <c r="K932" t="s">
        <v>23</v>
      </c>
      <c r="L932" t="s">
        <v>65</v>
      </c>
      <c r="M932" t="s">
        <v>54</v>
      </c>
      <c r="N932" t="str">
        <f t="shared" si="29"/>
        <v>November</v>
      </c>
    </row>
    <row r="933" spans="1:14" x14ac:dyDescent="0.3">
      <c r="A933" t="s">
        <v>1098</v>
      </c>
      <c r="B933" s="1">
        <v>1786</v>
      </c>
      <c r="C933" s="1">
        <f t="shared" si="28"/>
        <v>1562</v>
      </c>
      <c r="D933">
        <v>224</v>
      </c>
      <c r="E933">
        <v>4</v>
      </c>
      <c r="F933" t="s">
        <v>47</v>
      </c>
      <c r="G933" t="s">
        <v>48</v>
      </c>
      <c r="H933" t="s">
        <v>67</v>
      </c>
      <c r="I933" s="2">
        <v>44425</v>
      </c>
      <c r="J933" t="s">
        <v>1099</v>
      </c>
      <c r="K933" t="s">
        <v>73</v>
      </c>
      <c r="L933" t="s">
        <v>74</v>
      </c>
      <c r="M933" t="s">
        <v>180</v>
      </c>
      <c r="N933" t="str">
        <f t="shared" si="29"/>
        <v>August</v>
      </c>
    </row>
    <row r="934" spans="1:14" x14ac:dyDescent="0.3">
      <c r="A934" t="s">
        <v>1100</v>
      </c>
      <c r="B934" s="1">
        <v>4751</v>
      </c>
      <c r="C934" s="1">
        <f t="shared" si="28"/>
        <v>3970</v>
      </c>
      <c r="D934">
        <v>781</v>
      </c>
      <c r="E934">
        <v>9</v>
      </c>
      <c r="F934" t="s">
        <v>32</v>
      </c>
      <c r="G934" t="s">
        <v>66</v>
      </c>
      <c r="H934" t="s">
        <v>42</v>
      </c>
      <c r="I934" s="2">
        <v>45109</v>
      </c>
      <c r="J934" t="s">
        <v>1101</v>
      </c>
      <c r="K934" t="s">
        <v>27</v>
      </c>
      <c r="L934" t="s">
        <v>28</v>
      </c>
      <c r="M934" t="s">
        <v>107</v>
      </c>
      <c r="N934" t="str">
        <f t="shared" si="29"/>
        <v>July</v>
      </c>
    </row>
    <row r="935" spans="1:14" x14ac:dyDescent="0.3">
      <c r="A935" t="s">
        <v>1102</v>
      </c>
      <c r="B935" s="1">
        <v>8979</v>
      </c>
      <c r="C935" s="1">
        <f t="shared" si="28"/>
        <v>4502</v>
      </c>
      <c r="D935">
        <v>4477</v>
      </c>
      <c r="E935">
        <v>4</v>
      </c>
      <c r="F935" t="s">
        <v>32</v>
      </c>
      <c r="G935" t="s">
        <v>66</v>
      </c>
      <c r="H935" t="s">
        <v>49</v>
      </c>
      <c r="I935" s="2">
        <v>44067</v>
      </c>
      <c r="J935" t="s">
        <v>1103</v>
      </c>
      <c r="K935" t="s">
        <v>23</v>
      </c>
      <c r="L935" t="s">
        <v>24</v>
      </c>
      <c r="M935" t="s">
        <v>187</v>
      </c>
      <c r="N935" t="str">
        <f t="shared" si="29"/>
        <v>August</v>
      </c>
    </row>
    <row r="936" spans="1:14" x14ac:dyDescent="0.3">
      <c r="A936" t="s">
        <v>1104</v>
      </c>
      <c r="B936" s="1">
        <v>2727</v>
      </c>
      <c r="C936" s="1">
        <f t="shared" si="28"/>
        <v>2064</v>
      </c>
      <c r="D936">
        <v>663</v>
      </c>
      <c r="E936">
        <v>8</v>
      </c>
      <c r="F936" t="s">
        <v>15</v>
      </c>
      <c r="G936" t="s">
        <v>84</v>
      </c>
      <c r="H936" t="s">
        <v>49</v>
      </c>
      <c r="I936" s="2">
        <v>44872</v>
      </c>
      <c r="J936" t="s">
        <v>1105</v>
      </c>
      <c r="K936" t="s">
        <v>19</v>
      </c>
      <c r="L936" t="s">
        <v>20</v>
      </c>
      <c r="M936" t="s">
        <v>46</v>
      </c>
      <c r="N936" t="str">
        <f t="shared" si="29"/>
        <v>November</v>
      </c>
    </row>
    <row r="937" spans="1:14" x14ac:dyDescent="0.3">
      <c r="A937" t="s">
        <v>1106</v>
      </c>
      <c r="B937" s="1">
        <v>1093</v>
      </c>
      <c r="C937" s="1">
        <f t="shared" si="28"/>
        <v>696</v>
      </c>
      <c r="D937">
        <v>397</v>
      </c>
      <c r="E937">
        <v>17</v>
      </c>
      <c r="F937" t="s">
        <v>15</v>
      </c>
      <c r="G937" t="s">
        <v>30</v>
      </c>
      <c r="H937" t="s">
        <v>49</v>
      </c>
      <c r="I937" s="2">
        <v>45378</v>
      </c>
      <c r="J937" t="s">
        <v>1107</v>
      </c>
      <c r="K937" t="s">
        <v>23</v>
      </c>
      <c r="L937" t="s">
        <v>174</v>
      </c>
      <c r="M937" t="s">
        <v>340</v>
      </c>
      <c r="N937" t="str">
        <f t="shared" si="29"/>
        <v>March</v>
      </c>
    </row>
    <row r="938" spans="1:14" x14ac:dyDescent="0.3">
      <c r="A938" t="s">
        <v>1106</v>
      </c>
      <c r="B938" s="1">
        <v>1093</v>
      </c>
      <c r="C938" s="1">
        <f t="shared" si="28"/>
        <v>696</v>
      </c>
      <c r="D938">
        <v>397</v>
      </c>
      <c r="E938">
        <v>17</v>
      </c>
      <c r="F938" t="s">
        <v>15</v>
      </c>
      <c r="G938" t="s">
        <v>30</v>
      </c>
      <c r="H938" t="s">
        <v>49</v>
      </c>
      <c r="I938" s="2">
        <v>45536</v>
      </c>
      <c r="J938" t="s">
        <v>1108</v>
      </c>
      <c r="K938" t="s">
        <v>27</v>
      </c>
      <c r="L938" t="s">
        <v>28</v>
      </c>
      <c r="M938" t="s">
        <v>161</v>
      </c>
      <c r="N938" t="str">
        <f t="shared" si="29"/>
        <v>September</v>
      </c>
    </row>
    <row r="939" spans="1:14" x14ac:dyDescent="0.3">
      <c r="A939" t="s">
        <v>1106</v>
      </c>
      <c r="B939" s="1">
        <v>1093</v>
      </c>
      <c r="C939" s="1">
        <f t="shared" si="28"/>
        <v>696</v>
      </c>
      <c r="D939">
        <v>397</v>
      </c>
      <c r="E939">
        <v>17</v>
      </c>
      <c r="F939" t="s">
        <v>15</v>
      </c>
      <c r="G939" t="s">
        <v>30</v>
      </c>
      <c r="H939" t="s">
        <v>49</v>
      </c>
      <c r="I939" s="2">
        <v>44614</v>
      </c>
      <c r="J939" t="s">
        <v>1109</v>
      </c>
      <c r="K939" t="s">
        <v>100</v>
      </c>
      <c r="L939" t="s">
        <v>101</v>
      </c>
      <c r="M939" t="s">
        <v>139</v>
      </c>
      <c r="N939" t="str">
        <f t="shared" si="29"/>
        <v>February</v>
      </c>
    </row>
    <row r="940" spans="1:14" x14ac:dyDescent="0.3">
      <c r="A940" t="s">
        <v>1106</v>
      </c>
      <c r="B940" s="1">
        <v>2636</v>
      </c>
      <c r="C940" s="1">
        <f t="shared" si="28"/>
        <v>2548</v>
      </c>
      <c r="D940">
        <v>88</v>
      </c>
      <c r="E940">
        <v>11</v>
      </c>
      <c r="F940" t="s">
        <v>32</v>
      </c>
      <c r="G940" t="s">
        <v>66</v>
      </c>
      <c r="H940" t="s">
        <v>34</v>
      </c>
      <c r="I940" s="2">
        <v>45378</v>
      </c>
      <c r="J940" t="s">
        <v>1107</v>
      </c>
      <c r="K940" t="s">
        <v>23</v>
      </c>
      <c r="L940" t="s">
        <v>174</v>
      </c>
      <c r="M940" t="s">
        <v>340</v>
      </c>
      <c r="N940" t="str">
        <f t="shared" si="29"/>
        <v>March</v>
      </c>
    </row>
    <row r="941" spans="1:14" x14ac:dyDescent="0.3">
      <c r="A941" t="s">
        <v>1106</v>
      </c>
      <c r="B941" s="1">
        <v>2636</v>
      </c>
      <c r="C941" s="1">
        <f t="shared" si="28"/>
        <v>2548</v>
      </c>
      <c r="D941">
        <v>88</v>
      </c>
      <c r="E941">
        <v>11</v>
      </c>
      <c r="F941" t="s">
        <v>32</v>
      </c>
      <c r="G941" t="s">
        <v>66</v>
      </c>
      <c r="H941" t="s">
        <v>34</v>
      </c>
      <c r="I941" s="2">
        <v>45536</v>
      </c>
      <c r="J941" t="s">
        <v>1108</v>
      </c>
      <c r="K941" t="s">
        <v>27</v>
      </c>
      <c r="L941" t="s">
        <v>28</v>
      </c>
      <c r="M941" t="s">
        <v>161</v>
      </c>
      <c r="N941" t="str">
        <f t="shared" si="29"/>
        <v>September</v>
      </c>
    </row>
    <row r="942" spans="1:14" x14ac:dyDescent="0.3">
      <c r="A942" t="s">
        <v>1106</v>
      </c>
      <c r="B942" s="1">
        <v>2636</v>
      </c>
      <c r="C942" s="1">
        <f t="shared" si="28"/>
        <v>2548</v>
      </c>
      <c r="D942">
        <v>88</v>
      </c>
      <c r="E942">
        <v>11</v>
      </c>
      <c r="F942" t="s">
        <v>32</v>
      </c>
      <c r="G942" t="s">
        <v>66</v>
      </c>
      <c r="H942" t="s">
        <v>34</v>
      </c>
      <c r="I942" s="2">
        <v>44614</v>
      </c>
      <c r="J942" t="s">
        <v>1109</v>
      </c>
      <c r="K942" t="s">
        <v>100</v>
      </c>
      <c r="L942" t="s">
        <v>101</v>
      </c>
      <c r="M942" t="s">
        <v>139</v>
      </c>
      <c r="N942" t="str">
        <f t="shared" si="29"/>
        <v>February</v>
      </c>
    </row>
    <row r="943" spans="1:14" x14ac:dyDescent="0.3">
      <c r="A943" t="s">
        <v>1110</v>
      </c>
      <c r="B943" s="1">
        <v>7344</v>
      </c>
      <c r="C943" s="1">
        <f t="shared" si="28"/>
        <v>5093</v>
      </c>
      <c r="D943">
        <v>2251</v>
      </c>
      <c r="E943">
        <v>7</v>
      </c>
      <c r="F943" t="s">
        <v>15</v>
      </c>
      <c r="G943" t="s">
        <v>16</v>
      </c>
      <c r="H943" t="s">
        <v>34</v>
      </c>
      <c r="I943" s="2">
        <v>44603</v>
      </c>
      <c r="J943" t="s">
        <v>1111</v>
      </c>
      <c r="K943" t="s">
        <v>19</v>
      </c>
      <c r="L943" t="s">
        <v>20</v>
      </c>
      <c r="M943" t="s">
        <v>139</v>
      </c>
      <c r="N943" t="str">
        <f t="shared" si="29"/>
        <v>February</v>
      </c>
    </row>
    <row r="944" spans="1:14" x14ac:dyDescent="0.3">
      <c r="A944" t="s">
        <v>1110</v>
      </c>
      <c r="B944" s="1">
        <v>7306</v>
      </c>
      <c r="C944" s="1">
        <f t="shared" si="28"/>
        <v>5759</v>
      </c>
      <c r="D944">
        <v>1547</v>
      </c>
      <c r="E944">
        <v>3</v>
      </c>
      <c r="F944" t="s">
        <v>32</v>
      </c>
      <c r="G944" t="s">
        <v>66</v>
      </c>
      <c r="H944" t="s">
        <v>67</v>
      </c>
      <c r="I944" s="2">
        <v>44603</v>
      </c>
      <c r="J944" t="s">
        <v>1111</v>
      </c>
      <c r="K944" t="s">
        <v>19</v>
      </c>
      <c r="L944" t="s">
        <v>20</v>
      </c>
      <c r="M944" t="s">
        <v>139</v>
      </c>
      <c r="N944" t="str">
        <f t="shared" si="29"/>
        <v>February</v>
      </c>
    </row>
    <row r="945" spans="1:14" x14ac:dyDescent="0.3">
      <c r="A945" t="s">
        <v>1110</v>
      </c>
      <c r="B945" s="1">
        <v>5832</v>
      </c>
      <c r="C945" s="1">
        <f t="shared" si="28"/>
        <v>3244</v>
      </c>
      <c r="D945">
        <v>2588</v>
      </c>
      <c r="E945">
        <v>10</v>
      </c>
      <c r="F945" t="s">
        <v>15</v>
      </c>
      <c r="G945" t="s">
        <v>30</v>
      </c>
      <c r="H945" t="s">
        <v>67</v>
      </c>
      <c r="I945" s="2">
        <v>44603</v>
      </c>
      <c r="J945" t="s">
        <v>1111</v>
      </c>
      <c r="K945" t="s">
        <v>19</v>
      </c>
      <c r="L945" t="s">
        <v>20</v>
      </c>
      <c r="M945" t="s">
        <v>139</v>
      </c>
      <c r="N945" t="str">
        <f t="shared" si="29"/>
        <v>February</v>
      </c>
    </row>
    <row r="946" spans="1:14" x14ac:dyDescent="0.3">
      <c r="A946" t="s">
        <v>1112</v>
      </c>
      <c r="B946" s="1">
        <v>8572</v>
      </c>
      <c r="C946" s="1">
        <f t="shared" si="28"/>
        <v>6531</v>
      </c>
      <c r="D946">
        <v>2041</v>
      </c>
      <c r="E946">
        <v>8</v>
      </c>
      <c r="F946" t="s">
        <v>47</v>
      </c>
      <c r="G946" t="s">
        <v>48</v>
      </c>
      <c r="H946" t="s">
        <v>42</v>
      </c>
      <c r="I946" s="2">
        <v>44343</v>
      </c>
      <c r="J946" t="s">
        <v>1113</v>
      </c>
      <c r="K946" t="s">
        <v>23</v>
      </c>
      <c r="L946" t="s">
        <v>65</v>
      </c>
      <c r="M946" t="s">
        <v>110</v>
      </c>
      <c r="N946" t="str">
        <f t="shared" si="29"/>
        <v>May</v>
      </c>
    </row>
    <row r="947" spans="1:14" x14ac:dyDescent="0.3">
      <c r="A947" t="s">
        <v>1112</v>
      </c>
      <c r="B947" s="1">
        <v>8572</v>
      </c>
      <c r="C947" s="1">
        <f t="shared" si="28"/>
        <v>6531</v>
      </c>
      <c r="D947">
        <v>2041</v>
      </c>
      <c r="E947">
        <v>8</v>
      </c>
      <c r="F947" t="s">
        <v>47</v>
      </c>
      <c r="G947" t="s">
        <v>48</v>
      </c>
      <c r="H947" t="s">
        <v>42</v>
      </c>
      <c r="I947" s="2">
        <v>45112</v>
      </c>
      <c r="J947" t="s">
        <v>1114</v>
      </c>
      <c r="K947" t="s">
        <v>23</v>
      </c>
      <c r="L947" t="s">
        <v>65</v>
      </c>
      <c r="M947" t="s">
        <v>107</v>
      </c>
      <c r="N947" t="str">
        <f t="shared" si="29"/>
        <v>July</v>
      </c>
    </row>
    <row r="948" spans="1:14" x14ac:dyDescent="0.3">
      <c r="A948" t="s">
        <v>1112</v>
      </c>
      <c r="B948" s="1">
        <v>8572</v>
      </c>
      <c r="C948" s="1">
        <f t="shared" si="28"/>
        <v>6531</v>
      </c>
      <c r="D948">
        <v>2041</v>
      </c>
      <c r="E948">
        <v>8</v>
      </c>
      <c r="F948" t="s">
        <v>47</v>
      </c>
      <c r="G948" t="s">
        <v>48</v>
      </c>
      <c r="H948" t="s">
        <v>42</v>
      </c>
      <c r="I948" s="2">
        <v>44131</v>
      </c>
      <c r="J948" t="s">
        <v>1115</v>
      </c>
      <c r="K948" t="s">
        <v>44</v>
      </c>
      <c r="L948" t="s">
        <v>77</v>
      </c>
      <c r="M948" t="s">
        <v>121</v>
      </c>
      <c r="N948" t="str">
        <f t="shared" si="29"/>
        <v>October</v>
      </c>
    </row>
    <row r="949" spans="1:14" x14ac:dyDescent="0.3">
      <c r="A949" t="s">
        <v>1112</v>
      </c>
      <c r="B949" s="1">
        <v>8059</v>
      </c>
      <c r="C949" s="1">
        <f t="shared" si="28"/>
        <v>6225</v>
      </c>
      <c r="D949">
        <v>1834</v>
      </c>
      <c r="E949">
        <v>10</v>
      </c>
      <c r="F949" t="s">
        <v>15</v>
      </c>
      <c r="G949" t="s">
        <v>30</v>
      </c>
      <c r="H949" t="s">
        <v>49</v>
      </c>
      <c r="I949" s="2">
        <v>44343</v>
      </c>
      <c r="J949" t="s">
        <v>1113</v>
      </c>
      <c r="K949" t="s">
        <v>23</v>
      </c>
      <c r="L949" t="s">
        <v>65</v>
      </c>
      <c r="M949" t="s">
        <v>110</v>
      </c>
      <c r="N949" t="str">
        <f t="shared" si="29"/>
        <v>May</v>
      </c>
    </row>
    <row r="950" spans="1:14" x14ac:dyDescent="0.3">
      <c r="A950" t="s">
        <v>1112</v>
      </c>
      <c r="B950" s="1">
        <v>8059</v>
      </c>
      <c r="C950" s="1">
        <f t="shared" si="28"/>
        <v>6225</v>
      </c>
      <c r="D950">
        <v>1834</v>
      </c>
      <c r="E950">
        <v>10</v>
      </c>
      <c r="F950" t="s">
        <v>15</v>
      </c>
      <c r="G950" t="s">
        <v>30</v>
      </c>
      <c r="H950" t="s">
        <v>49</v>
      </c>
      <c r="I950" s="2">
        <v>45112</v>
      </c>
      <c r="J950" t="s">
        <v>1114</v>
      </c>
      <c r="K950" t="s">
        <v>23</v>
      </c>
      <c r="L950" t="s">
        <v>65</v>
      </c>
      <c r="M950" t="s">
        <v>107</v>
      </c>
      <c r="N950" t="str">
        <f t="shared" si="29"/>
        <v>July</v>
      </c>
    </row>
    <row r="951" spans="1:14" x14ac:dyDescent="0.3">
      <c r="A951" t="s">
        <v>1112</v>
      </c>
      <c r="B951" s="1">
        <v>8059</v>
      </c>
      <c r="C951" s="1">
        <f t="shared" si="28"/>
        <v>6225</v>
      </c>
      <c r="D951">
        <v>1834</v>
      </c>
      <c r="E951">
        <v>10</v>
      </c>
      <c r="F951" t="s">
        <v>15</v>
      </c>
      <c r="G951" t="s">
        <v>30</v>
      </c>
      <c r="H951" t="s">
        <v>49</v>
      </c>
      <c r="I951" s="2">
        <v>44131</v>
      </c>
      <c r="J951" t="s">
        <v>1115</v>
      </c>
      <c r="K951" t="s">
        <v>44</v>
      </c>
      <c r="L951" t="s">
        <v>77</v>
      </c>
      <c r="M951" t="s">
        <v>121</v>
      </c>
      <c r="N951" t="str">
        <f t="shared" si="29"/>
        <v>October</v>
      </c>
    </row>
    <row r="952" spans="1:14" x14ac:dyDescent="0.3">
      <c r="A952" t="s">
        <v>1116</v>
      </c>
      <c r="B952" s="1">
        <v>3661</v>
      </c>
      <c r="C952" s="1">
        <f t="shared" si="28"/>
        <v>3225</v>
      </c>
      <c r="D952">
        <v>436</v>
      </c>
      <c r="E952">
        <v>13</v>
      </c>
      <c r="F952" t="s">
        <v>47</v>
      </c>
      <c r="G952" t="s">
        <v>62</v>
      </c>
      <c r="H952" t="s">
        <v>42</v>
      </c>
      <c r="I952" s="2">
        <v>44952</v>
      </c>
      <c r="J952" t="s">
        <v>1117</v>
      </c>
      <c r="K952" t="s">
        <v>73</v>
      </c>
      <c r="L952" t="s">
        <v>88</v>
      </c>
      <c r="M952" t="s">
        <v>335</v>
      </c>
      <c r="N952" t="str">
        <f t="shared" si="29"/>
        <v>January</v>
      </c>
    </row>
    <row r="953" spans="1:14" x14ac:dyDescent="0.3">
      <c r="A953" t="s">
        <v>1118</v>
      </c>
      <c r="B953" s="1">
        <v>2451</v>
      </c>
      <c r="C953" s="1">
        <f t="shared" si="28"/>
        <v>2109</v>
      </c>
      <c r="D953">
        <v>342</v>
      </c>
      <c r="E953">
        <v>8</v>
      </c>
      <c r="F953" t="s">
        <v>32</v>
      </c>
      <c r="G953" t="s">
        <v>66</v>
      </c>
      <c r="H953" t="s">
        <v>42</v>
      </c>
      <c r="I953" s="2">
        <v>44445</v>
      </c>
      <c r="J953" t="s">
        <v>1119</v>
      </c>
      <c r="K953" t="s">
        <v>44</v>
      </c>
      <c r="L953" t="s">
        <v>45</v>
      </c>
      <c r="M953" t="s">
        <v>226</v>
      </c>
      <c r="N953" t="str">
        <f t="shared" si="29"/>
        <v>September</v>
      </c>
    </row>
    <row r="954" spans="1:14" x14ac:dyDescent="0.3">
      <c r="A954" t="s">
        <v>1118</v>
      </c>
      <c r="B954" s="1">
        <v>2451</v>
      </c>
      <c r="C954" s="1">
        <f t="shared" si="28"/>
        <v>2109</v>
      </c>
      <c r="D954">
        <v>342</v>
      </c>
      <c r="E954">
        <v>8</v>
      </c>
      <c r="F954" t="s">
        <v>32</v>
      </c>
      <c r="G954" t="s">
        <v>66</v>
      </c>
      <c r="H954" t="s">
        <v>42</v>
      </c>
      <c r="I954" s="2">
        <v>44512</v>
      </c>
      <c r="J954" t="s">
        <v>1120</v>
      </c>
      <c r="K954" t="s">
        <v>100</v>
      </c>
      <c r="L954" t="s">
        <v>109</v>
      </c>
      <c r="M954" t="s">
        <v>177</v>
      </c>
      <c r="N954" t="str">
        <f t="shared" si="29"/>
        <v>November</v>
      </c>
    </row>
    <row r="955" spans="1:14" x14ac:dyDescent="0.3">
      <c r="A955" t="s">
        <v>1118</v>
      </c>
      <c r="B955" s="1">
        <v>2451</v>
      </c>
      <c r="C955" s="1">
        <f t="shared" si="28"/>
        <v>2109</v>
      </c>
      <c r="D955">
        <v>342</v>
      </c>
      <c r="E955">
        <v>8</v>
      </c>
      <c r="F955" t="s">
        <v>32</v>
      </c>
      <c r="G955" t="s">
        <v>66</v>
      </c>
      <c r="H955" t="s">
        <v>42</v>
      </c>
      <c r="I955" s="2">
        <v>45503</v>
      </c>
      <c r="J955" t="s">
        <v>1121</v>
      </c>
      <c r="K955" t="s">
        <v>73</v>
      </c>
      <c r="L955" t="s">
        <v>140</v>
      </c>
      <c r="M955" t="s">
        <v>217</v>
      </c>
      <c r="N955" t="str">
        <f t="shared" si="29"/>
        <v>July</v>
      </c>
    </row>
    <row r="956" spans="1:14" x14ac:dyDescent="0.3">
      <c r="A956" t="s">
        <v>1122</v>
      </c>
      <c r="B956" s="1">
        <v>7067</v>
      </c>
      <c r="C956" s="1">
        <f t="shared" si="28"/>
        <v>5124</v>
      </c>
      <c r="D956">
        <v>1943</v>
      </c>
      <c r="E956">
        <v>16</v>
      </c>
      <c r="F956" t="s">
        <v>47</v>
      </c>
      <c r="G956" t="s">
        <v>48</v>
      </c>
      <c r="H956" t="s">
        <v>49</v>
      </c>
      <c r="I956" s="2">
        <v>44635</v>
      </c>
      <c r="J956" t="s">
        <v>1123</v>
      </c>
      <c r="K956" t="s">
        <v>44</v>
      </c>
      <c r="L956" t="s">
        <v>94</v>
      </c>
      <c r="M956" t="s">
        <v>136</v>
      </c>
      <c r="N956" t="str">
        <f t="shared" si="29"/>
        <v>March</v>
      </c>
    </row>
    <row r="957" spans="1:14" x14ac:dyDescent="0.3">
      <c r="A957" t="s">
        <v>1124</v>
      </c>
      <c r="B957" s="1">
        <v>4307</v>
      </c>
      <c r="C957" s="1">
        <f t="shared" si="28"/>
        <v>3692</v>
      </c>
      <c r="D957">
        <v>615</v>
      </c>
      <c r="E957">
        <v>3</v>
      </c>
      <c r="F957" t="s">
        <v>15</v>
      </c>
      <c r="G957" t="s">
        <v>16</v>
      </c>
      <c r="H957" t="s">
        <v>17</v>
      </c>
      <c r="I957" s="2">
        <v>45366</v>
      </c>
      <c r="J957" t="s">
        <v>1125</v>
      </c>
      <c r="K957" t="s">
        <v>27</v>
      </c>
      <c r="L957" t="s">
        <v>53</v>
      </c>
      <c r="M957" t="s">
        <v>340</v>
      </c>
      <c r="N957" t="str">
        <f t="shared" si="29"/>
        <v>March</v>
      </c>
    </row>
    <row r="958" spans="1:14" x14ac:dyDescent="0.3">
      <c r="A958" t="s">
        <v>1124</v>
      </c>
      <c r="B958" s="1">
        <v>4307</v>
      </c>
      <c r="C958" s="1">
        <f t="shared" si="28"/>
        <v>3692</v>
      </c>
      <c r="D958">
        <v>615</v>
      </c>
      <c r="E958">
        <v>3</v>
      </c>
      <c r="F958" t="s">
        <v>15</v>
      </c>
      <c r="G958" t="s">
        <v>16</v>
      </c>
      <c r="H958" t="s">
        <v>17</v>
      </c>
      <c r="I958" s="2">
        <v>44145</v>
      </c>
      <c r="J958" t="s">
        <v>1126</v>
      </c>
      <c r="K958" t="s">
        <v>23</v>
      </c>
      <c r="L958" t="s">
        <v>65</v>
      </c>
      <c r="M958" t="s">
        <v>82</v>
      </c>
      <c r="N958" t="str">
        <f t="shared" si="29"/>
        <v>November</v>
      </c>
    </row>
    <row r="959" spans="1:14" x14ac:dyDescent="0.3">
      <c r="A959" t="s">
        <v>1124</v>
      </c>
      <c r="B959" s="1">
        <v>5694</v>
      </c>
      <c r="C959" s="1">
        <f t="shared" si="28"/>
        <v>4560</v>
      </c>
      <c r="D959">
        <v>1134</v>
      </c>
      <c r="E959">
        <v>5</v>
      </c>
      <c r="F959" t="s">
        <v>47</v>
      </c>
      <c r="G959" t="s">
        <v>51</v>
      </c>
      <c r="H959" t="s">
        <v>42</v>
      </c>
      <c r="I959" s="2">
        <v>45366</v>
      </c>
      <c r="J959" t="s">
        <v>1125</v>
      </c>
      <c r="K959" t="s">
        <v>27</v>
      </c>
      <c r="L959" t="s">
        <v>53</v>
      </c>
      <c r="M959" t="s">
        <v>340</v>
      </c>
      <c r="N959" t="str">
        <f t="shared" si="29"/>
        <v>March</v>
      </c>
    </row>
    <row r="960" spans="1:14" x14ac:dyDescent="0.3">
      <c r="A960" t="s">
        <v>1124</v>
      </c>
      <c r="B960" s="1">
        <v>5694</v>
      </c>
      <c r="C960" s="1">
        <f t="shared" si="28"/>
        <v>4560</v>
      </c>
      <c r="D960">
        <v>1134</v>
      </c>
      <c r="E960">
        <v>5</v>
      </c>
      <c r="F960" t="s">
        <v>47</v>
      </c>
      <c r="G960" t="s">
        <v>51</v>
      </c>
      <c r="H960" t="s">
        <v>42</v>
      </c>
      <c r="I960" s="2">
        <v>44145</v>
      </c>
      <c r="J960" t="s">
        <v>1126</v>
      </c>
      <c r="K960" t="s">
        <v>23</v>
      </c>
      <c r="L960" t="s">
        <v>65</v>
      </c>
      <c r="M960" t="s">
        <v>82</v>
      </c>
      <c r="N960" t="str">
        <f t="shared" si="29"/>
        <v>November</v>
      </c>
    </row>
    <row r="961" spans="1:14" x14ac:dyDescent="0.3">
      <c r="A961" t="s">
        <v>1127</v>
      </c>
      <c r="B961" s="1">
        <v>962</v>
      </c>
      <c r="C961" s="1">
        <f t="shared" si="28"/>
        <v>664</v>
      </c>
      <c r="D961">
        <v>298</v>
      </c>
      <c r="E961">
        <v>18</v>
      </c>
      <c r="F961" t="s">
        <v>32</v>
      </c>
      <c r="G961" t="s">
        <v>80</v>
      </c>
      <c r="H961" t="s">
        <v>49</v>
      </c>
      <c r="I961" s="2">
        <v>44765</v>
      </c>
      <c r="J961" t="s">
        <v>1128</v>
      </c>
      <c r="K961" t="s">
        <v>23</v>
      </c>
      <c r="L961" t="s">
        <v>65</v>
      </c>
      <c r="M961" t="s">
        <v>420</v>
      </c>
      <c r="N961" t="str">
        <f t="shared" si="29"/>
        <v>July</v>
      </c>
    </row>
    <row r="962" spans="1:14" x14ac:dyDescent="0.3">
      <c r="A962" t="s">
        <v>1129</v>
      </c>
      <c r="B962" s="1">
        <v>2995</v>
      </c>
      <c r="C962" s="1">
        <f t="shared" ref="C962:C1025" si="30">B962-D962</f>
        <v>2775</v>
      </c>
      <c r="D962">
        <v>220</v>
      </c>
      <c r="E962">
        <v>14</v>
      </c>
      <c r="F962" t="s">
        <v>47</v>
      </c>
      <c r="G962" t="s">
        <v>111</v>
      </c>
      <c r="H962" t="s">
        <v>49</v>
      </c>
      <c r="I962" s="2">
        <v>45548</v>
      </c>
      <c r="J962" t="s">
        <v>1130</v>
      </c>
      <c r="K962" t="s">
        <v>27</v>
      </c>
      <c r="L962" t="s">
        <v>28</v>
      </c>
      <c r="M962" t="s">
        <v>161</v>
      </c>
      <c r="N962" t="str">
        <f t="shared" si="29"/>
        <v>September</v>
      </c>
    </row>
    <row r="963" spans="1:14" x14ac:dyDescent="0.3">
      <c r="A963" t="s">
        <v>1129</v>
      </c>
      <c r="B963" s="1">
        <v>2047</v>
      </c>
      <c r="C963" s="1">
        <f t="shared" si="30"/>
        <v>1133</v>
      </c>
      <c r="D963">
        <v>914</v>
      </c>
      <c r="E963">
        <v>5</v>
      </c>
      <c r="F963" t="s">
        <v>32</v>
      </c>
      <c r="G963" t="s">
        <v>59</v>
      </c>
      <c r="H963" t="s">
        <v>34</v>
      </c>
      <c r="I963" s="2">
        <v>45548</v>
      </c>
      <c r="J963" t="s">
        <v>1130</v>
      </c>
      <c r="K963" t="s">
        <v>27</v>
      </c>
      <c r="L963" t="s">
        <v>28</v>
      </c>
      <c r="M963" t="s">
        <v>161</v>
      </c>
      <c r="N963" t="str">
        <f t="shared" ref="N963:N1026" si="31">TEXT(DATE(LEFT(M963,4),RIGHT(M963,2),1),"mmmm")</f>
        <v>September</v>
      </c>
    </row>
    <row r="964" spans="1:14" x14ac:dyDescent="0.3">
      <c r="A964" t="s">
        <v>1131</v>
      </c>
      <c r="B964" s="1">
        <v>2078</v>
      </c>
      <c r="C964" s="1">
        <f t="shared" si="30"/>
        <v>1466</v>
      </c>
      <c r="D964">
        <v>612</v>
      </c>
      <c r="E964">
        <v>6</v>
      </c>
      <c r="F964" t="s">
        <v>15</v>
      </c>
      <c r="G964" t="s">
        <v>41</v>
      </c>
      <c r="H964" t="s">
        <v>67</v>
      </c>
      <c r="I964" s="2">
        <v>44586</v>
      </c>
      <c r="J964" t="s">
        <v>1132</v>
      </c>
      <c r="K964" t="s">
        <v>73</v>
      </c>
      <c r="L964" t="s">
        <v>88</v>
      </c>
      <c r="M964" t="s">
        <v>89</v>
      </c>
      <c r="N964" t="str">
        <f t="shared" si="31"/>
        <v>January</v>
      </c>
    </row>
    <row r="965" spans="1:14" x14ac:dyDescent="0.3">
      <c r="A965" t="s">
        <v>1133</v>
      </c>
      <c r="B965" s="1">
        <v>2737</v>
      </c>
      <c r="C965" s="1">
        <f t="shared" si="30"/>
        <v>1484</v>
      </c>
      <c r="D965">
        <v>1253</v>
      </c>
      <c r="E965">
        <v>3</v>
      </c>
      <c r="F965" t="s">
        <v>15</v>
      </c>
      <c r="G965" t="s">
        <v>30</v>
      </c>
      <c r="H965" t="s">
        <v>42</v>
      </c>
      <c r="I965" s="2">
        <v>44305</v>
      </c>
      <c r="J965" t="s">
        <v>1134</v>
      </c>
      <c r="K965" t="s">
        <v>27</v>
      </c>
      <c r="L965" t="s">
        <v>53</v>
      </c>
      <c r="M965" t="s">
        <v>141</v>
      </c>
      <c r="N965" t="str">
        <f t="shared" si="31"/>
        <v>April</v>
      </c>
    </row>
    <row r="966" spans="1:14" x14ac:dyDescent="0.3">
      <c r="A966" t="s">
        <v>1135</v>
      </c>
      <c r="B966" s="1">
        <v>8194</v>
      </c>
      <c r="C966" s="1">
        <f t="shared" si="30"/>
        <v>5313</v>
      </c>
      <c r="D966">
        <v>2881</v>
      </c>
      <c r="E966">
        <v>6</v>
      </c>
      <c r="F966" t="s">
        <v>32</v>
      </c>
      <c r="G966" t="s">
        <v>66</v>
      </c>
      <c r="H966" t="s">
        <v>34</v>
      </c>
      <c r="I966" s="2">
        <v>44395</v>
      </c>
      <c r="J966" t="s">
        <v>1136</v>
      </c>
      <c r="K966" t="s">
        <v>73</v>
      </c>
      <c r="L966" t="s">
        <v>140</v>
      </c>
      <c r="M966" t="s">
        <v>29</v>
      </c>
      <c r="N966" t="str">
        <f t="shared" si="31"/>
        <v>July</v>
      </c>
    </row>
    <row r="967" spans="1:14" x14ac:dyDescent="0.3">
      <c r="A967" t="s">
        <v>1137</v>
      </c>
      <c r="B967" s="1">
        <v>9914</v>
      </c>
      <c r="C967" s="1">
        <f t="shared" si="30"/>
        <v>6056</v>
      </c>
      <c r="D967">
        <v>3858</v>
      </c>
      <c r="E967">
        <v>16</v>
      </c>
      <c r="F967" t="s">
        <v>47</v>
      </c>
      <c r="G967" t="s">
        <v>62</v>
      </c>
      <c r="H967" t="s">
        <v>49</v>
      </c>
      <c r="I967" s="2">
        <v>44736</v>
      </c>
      <c r="J967" t="s">
        <v>1138</v>
      </c>
      <c r="K967" t="s">
        <v>27</v>
      </c>
      <c r="L967" t="s">
        <v>28</v>
      </c>
      <c r="M967" t="s">
        <v>167</v>
      </c>
      <c r="N967" t="str">
        <f t="shared" si="31"/>
        <v>June</v>
      </c>
    </row>
    <row r="968" spans="1:14" x14ac:dyDescent="0.3">
      <c r="A968" t="s">
        <v>1137</v>
      </c>
      <c r="B968" s="1">
        <v>9914</v>
      </c>
      <c r="C968" s="1">
        <f t="shared" si="30"/>
        <v>6056</v>
      </c>
      <c r="D968">
        <v>3858</v>
      </c>
      <c r="E968">
        <v>16</v>
      </c>
      <c r="F968" t="s">
        <v>47</v>
      </c>
      <c r="G968" t="s">
        <v>62</v>
      </c>
      <c r="H968" t="s">
        <v>49</v>
      </c>
      <c r="I968" s="2">
        <v>45451</v>
      </c>
      <c r="J968" t="s">
        <v>1139</v>
      </c>
      <c r="K968" t="s">
        <v>27</v>
      </c>
      <c r="L968" t="s">
        <v>70</v>
      </c>
      <c r="M968" t="s">
        <v>264</v>
      </c>
      <c r="N968" t="str">
        <f t="shared" si="31"/>
        <v>June</v>
      </c>
    </row>
    <row r="969" spans="1:14" x14ac:dyDescent="0.3">
      <c r="A969" t="s">
        <v>1137</v>
      </c>
      <c r="B969" s="1">
        <v>5470</v>
      </c>
      <c r="C969" s="1">
        <f t="shared" si="30"/>
        <v>5178</v>
      </c>
      <c r="D969">
        <v>292</v>
      </c>
      <c r="E969">
        <v>7</v>
      </c>
      <c r="F969" t="s">
        <v>32</v>
      </c>
      <c r="G969" t="s">
        <v>33</v>
      </c>
      <c r="H969" t="s">
        <v>34</v>
      </c>
      <c r="I969" s="2">
        <v>44736</v>
      </c>
      <c r="J969" t="s">
        <v>1138</v>
      </c>
      <c r="K969" t="s">
        <v>27</v>
      </c>
      <c r="L969" t="s">
        <v>28</v>
      </c>
      <c r="M969" t="s">
        <v>167</v>
      </c>
      <c r="N969" t="str">
        <f t="shared" si="31"/>
        <v>June</v>
      </c>
    </row>
    <row r="970" spans="1:14" x14ac:dyDescent="0.3">
      <c r="A970" t="s">
        <v>1137</v>
      </c>
      <c r="B970" s="1">
        <v>5470</v>
      </c>
      <c r="C970" s="1">
        <f t="shared" si="30"/>
        <v>5178</v>
      </c>
      <c r="D970">
        <v>292</v>
      </c>
      <c r="E970">
        <v>7</v>
      </c>
      <c r="F970" t="s">
        <v>32</v>
      </c>
      <c r="G970" t="s">
        <v>33</v>
      </c>
      <c r="H970" t="s">
        <v>34</v>
      </c>
      <c r="I970" s="2">
        <v>45451</v>
      </c>
      <c r="J970" t="s">
        <v>1139</v>
      </c>
      <c r="K970" t="s">
        <v>27</v>
      </c>
      <c r="L970" t="s">
        <v>70</v>
      </c>
      <c r="M970" t="s">
        <v>264</v>
      </c>
      <c r="N970" t="str">
        <f t="shared" si="31"/>
        <v>June</v>
      </c>
    </row>
    <row r="971" spans="1:14" x14ac:dyDescent="0.3">
      <c r="A971" t="s">
        <v>1137</v>
      </c>
      <c r="B971" s="1">
        <v>1496</v>
      </c>
      <c r="C971" s="1">
        <f t="shared" si="30"/>
        <v>834</v>
      </c>
      <c r="D971">
        <v>662</v>
      </c>
      <c r="E971">
        <v>17</v>
      </c>
      <c r="F971" t="s">
        <v>47</v>
      </c>
      <c r="G971" t="s">
        <v>111</v>
      </c>
      <c r="H971" t="s">
        <v>17</v>
      </c>
      <c r="I971" s="2">
        <v>44736</v>
      </c>
      <c r="J971" t="s">
        <v>1138</v>
      </c>
      <c r="K971" t="s">
        <v>27</v>
      </c>
      <c r="L971" t="s">
        <v>28</v>
      </c>
      <c r="M971" t="s">
        <v>167</v>
      </c>
      <c r="N971" t="str">
        <f t="shared" si="31"/>
        <v>June</v>
      </c>
    </row>
    <row r="972" spans="1:14" x14ac:dyDescent="0.3">
      <c r="A972" t="s">
        <v>1137</v>
      </c>
      <c r="B972" s="1">
        <v>1496</v>
      </c>
      <c r="C972" s="1">
        <f t="shared" si="30"/>
        <v>834</v>
      </c>
      <c r="D972">
        <v>662</v>
      </c>
      <c r="E972">
        <v>17</v>
      </c>
      <c r="F972" t="s">
        <v>47</v>
      </c>
      <c r="G972" t="s">
        <v>111</v>
      </c>
      <c r="H972" t="s">
        <v>17</v>
      </c>
      <c r="I972" s="2">
        <v>45451</v>
      </c>
      <c r="J972" t="s">
        <v>1139</v>
      </c>
      <c r="K972" t="s">
        <v>27</v>
      </c>
      <c r="L972" t="s">
        <v>70</v>
      </c>
      <c r="M972" t="s">
        <v>264</v>
      </c>
      <c r="N972" t="str">
        <f t="shared" si="31"/>
        <v>June</v>
      </c>
    </row>
    <row r="973" spans="1:14" x14ac:dyDescent="0.3">
      <c r="A973" t="s">
        <v>1140</v>
      </c>
      <c r="B973" s="1">
        <v>3228</v>
      </c>
      <c r="C973" s="1">
        <f t="shared" si="30"/>
        <v>2752</v>
      </c>
      <c r="D973">
        <v>476</v>
      </c>
      <c r="E973">
        <v>9</v>
      </c>
      <c r="F973" t="s">
        <v>32</v>
      </c>
      <c r="G973" t="s">
        <v>66</v>
      </c>
      <c r="H973" t="s">
        <v>67</v>
      </c>
      <c r="I973" s="2">
        <v>44833</v>
      </c>
      <c r="J973" t="s">
        <v>1141</v>
      </c>
      <c r="K973" t="s">
        <v>27</v>
      </c>
      <c r="L973" t="s">
        <v>53</v>
      </c>
      <c r="M973" t="s">
        <v>133</v>
      </c>
      <c r="N973" t="str">
        <f t="shared" si="31"/>
        <v>September</v>
      </c>
    </row>
    <row r="974" spans="1:14" x14ac:dyDescent="0.3">
      <c r="A974" t="s">
        <v>1142</v>
      </c>
      <c r="B974" s="1">
        <v>3918</v>
      </c>
      <c r="C974" s="1">
        <f t="shared" si="30"/>
        <v>3169</v>
      </c>
      <c r="D974">
        <v>749</v>
      </c>
      <c r="E974">
        <v>8</v>
      </c>
      <c r="F974" t="s">
        <v>15</v>
      </c>
      <c r="G974" t="s">
        <v>41</v>
      </c>
      <c r="H974" t="s">
        <v>49</v>
      </c>
      <c r="I974" s="2">
        <v>45056</v>
      </c>
      <c r="J974" t="s">
        <v>1143</v>
      </c>
      <c r="K974" t="s">
        <v>44</v>
      </c>
      <c r="L974" t="s">
        <v>77</v>
      </c>
      <c r="M974" t="s">
        <v>129</v>
      </c>
      <c r="N974" t="str">
        <f t="shared" si="31"/>
        <v>May</v>
      </c>
    </row>
    <row r="975" spans="1:14" x14ac:dyDescent="0.3">
      <c r="A975" t="s">
        <v>1142</v>
      </c>
      <c r="B975" s="1">
        <v>3918</v>
      </c>
      <c r="C975" s="1">
        <f t="shared" si="30"/>
        <v>3169</v>
      </c>
      <c r="D975">
        <v>749</v>
      </c>
      <c r="E975">
        <v>8</v>
      </c>
      <c r="F975" t="s">
        <v>15</v>
      </c>
      <c r="G975" t="s">
        <v>41</v>
      </c>
      <c r="H975" t="s">
        <v>49</v>
      </c>
      <c r="I975" s="2">
        <v>43953</v>
      </c>
      <c r="J975" t="s">
        <v>1144</v>
      </c>
      <c r="K975" t="s">
        <v>73</v>
      </c>
      <c r="L975" t="s">
        <v>140</v>
      </c>
      <c r="M975" t="s">
        <v>61</v>
      </c>
      <c r="N975" t="str">
        <f t="shared" si="31"/>
        <v>May</v>
      </c>
    </row>
    <row r="976" spans="1:14" x14ac:dyDescent="0.3">
      <c r="A976" t="s">
        <v>1145</v>
      </c>
      <c r="B976" s="1">
        <v>9921</v>
      </c>
      <c r="C976" s="1">
        <f t="shared" si="30"/>
        <v>8470</v>
      </c>
      <c r="D976">
        <v>1451</v>
      </c>
      <c r="E976">
        <v>15</v>
      </c>
      <c r="F976" t="s">
        <v>47</v>
      </c>
      <c r="G976" t="s">
        <v>62</v>
      </c>
      <c r="H976" t="s">
        <v>42</v>
      </c>
      <c r="I976" s="2">
        <v>44298</v>
      </c>
      <c r="J976" t="s">
        <v>1146</v>
      </c>
      <c r="K976" t="s">
        <v>23</v>
      </c>
      <c r="L976" t="s">
        <v>24</v>
      </c>
      <c r="M976" t="s">
        <v>141</v>
      </c>
      <c r="N976" t="str">
        <f t="shared" si="31"/>
        <v>April</v>
      </c>
    </row>
    <row r="977" spans="1:14" x14ac:dyDescent="0.3">
      <c r="A977" t="s">
        <v>1147</v>
      </c>
      <c r="B977" s="1">
        <v>9694</v>
      </c>
      <c r="C977" s="1">
        <f t="shared" si="30"/>
        <v>5333</v>
      </c>
      <c r="D977">
        <v>4361</v>
      </c>
      <c r="E977">
        <v>1</v>
      </c>
      <c r="F977" t="s">
        <v>47</v>
      </c>
      <c r="G977" t="s">
        <v>51</v>
      </c>
      <c r="H977" t="s">
        <v>42</v>
      </c>
      <c r="I977" s="2">
        <v>45234</v>
      </c>
      <c r="J977" t="s">
        <v>1148</v>
      </c>
      <c r="K977" t="s">
        <v>23</v>
      </c>
      <c r="L977" t="s">
        <v>65</v>
      </c>
      <c r="M977" t="s">
        <v>54</v>
      </c>
      <c r="N977" t="str">
        <f t="shared" si="31"/>
        <v>November</v>
      </c>
    </row>
    <row r="978" spans="1:14" x14ac:dyDescent="0.3">
      <c r="A978" t="s">
        <v>1149</v>
      </c>
      <c r="B978" s="1">
        <v>5028</v>
      </c>
      <c r="C978" s="1">
        <f t="shared" si="30"/>
        <v>3475</v>
      </c>
      <c r="D978">
        <v>1553</v>
      </c>
      <c r="E978">
        <v>13</v>
      </c>
      <c r="F978" t="s">
        <v>32</v>
      </c>
      <c r="G978" t="s">
        <v>66</v>
      </c>
      <c r="H978" t="s">
        <v>42</v>
      </c>
      <c r="I978" s="2">
        <v>43955</v>
      </c>
      <c r="J978" t="s">
        <v>1150</v>
      </c>
      <c r="K978" t="s">
        <v>19</v>
      </c>
      <c r="L978" t="s">
        <v>152</v>
      </c>
      <c r="M978" t="s">
        <v>61</v>
      </c>
      <c r="N978" t="str">
        <f t="shared" si="31"/>
        <v>May</v>
      </c>
    </row>
    <row r="979" spans="1:14" x14ac:dyDescent="0.3">
      <c r="A979" t="s">
        <v>1151</v>
      </c>
      <c r="B979" s="1">
        <v>594</v>
      </c>
      <c r="C979" s="1">
        <f t="shared" si="30"/>
        <v>527</v>
      </c>
      <c r="D979">
        <v>67</v>
      </c>
      <c r="E979">
        <v>19</v>
      </c>
      <c r="F979" t="s">
        <v>32</v>
      </c>
      <c r="G979" t="s">
        <v>66</v>
      </c>
      <c r="H979" t="s">
        <v>34</v>
      </c>
      <c r="I979" s="2">
        <v>45179</v>
      </c>
      <c r="J979" t="s">
        <v>1152</v>
      </c>
      <c r="K979" t="s">
        <v>27</v>
      </c>
      <c r="L979" t="s">
        <v>28</v>
      </c>
      <c r="M979" t="s">
        <v>275</v>
      </c>
      <c r="N979" t="str">
        <f t="shared" si="31"/>
        <v>September</v>
      </c>
    </row>
    <row r="980" spans="1:14" x14ac:dyDescent="0.3">
      <c r="A980" t="s">
        <v>1151</v>
      </c>
      <c r="B980" s="1">
        <v>594</v>
      </c>
      <c r="C980" s="1">
        <f t="shared" si="30"/>
        <v>527</v>
      </c>
      <c r="D980">
        <v>67</v>
      </c>
      <c r="E980">
        <v>19</v>
      </c>
      <c r="F980" t="s">
        <v>32</v>
      </c>
      <c r="G980" t="s">
        <v>66</v>
      </c>
      <c r="H980" t="s">
        <v>34</v>
      </c>
      <c r="I980" s="2">
        <v>45296</v>
      </c>
      <c r="J980" t="s">
        <v>1153</v>
      </c>
      <c r="K980" t="s">
        <v>19</v>
      </c>
      <c r="L980" t="s">
        <v>20</v>
      </c>
      <c r="M980" t="s">
        <v>78</v>
      </c>
      <c r="N980" t="str">
        <f t="shared" si="31"/>
        <v>January</v>
      </c>
    </row>
    <row r="981" spans="1:14" x14ac:dyDescent="0.3">
      <c r="A981" t="s">
        <v>1151</v>
      </c>
      <c r="B981" s="1">
        <v>594</v>
      </c>
      <c r="C981" s="1">
        <f t="shared" si="30"/>
        <v>527</v>
      </c>
      <c r="D981">
        <v>67</v>
      </c>
      <c r="E981">
        <v>19</v>
      </c>
      <c r="F981" t="s">
        <v>32</v>
      </c>
      <c r="G981" t="s">
        <v>66</v>
      </c>
      <c r="H981" t="s">
        <v>34</v>
      </c>
      <c r="I981" s="2">
        <v>45420</v>
      </c>
      <c r="J981" t="s">
        <v>1154</v>
      </c>
      <c r="K981" t="s">
        <v>73</v>
      </c>
      <c r="L981" t="s">
        <v>88</v>
      </c>
      <c r="M981" t="s">
        <v>37</v>
      </c>
      <c r="N981" t="str">
        <f t="shared" si="31"/>
        <v>May</v>
      </c>
    </row>
    <row r="982" spans="1:14" x14ac:dyDescent="0.3">
      <c r="A982" t="s">
        <v>1155</v>
      </c>
      <c r="B982" s="1">
        <v>5954</v>
      </c>
      <c r="C982" s="1">
        <f t="shared" si="30"/>
        <v>3336</v>
      </c>
      <c r="D982">
        <v>2618</v>
      </c>
      <c r="E982">
        <v>11</v>
      </c>
      <c r="F982" t="s">
        <v>47</v>
      </c>
      <c r="G982" t="s">
        <v>48</v>
      </c>
      <c r="H982" t="s">
        <v>67</v>
      </c>
      <c r="I982" s="2">
        <v>45381</v>
      </c>
      <c r="J982" t="s">
        <v>1156</v>
      </c>
      <c r="K982" t="s">
        <v>100</v>
      </c>
      <c r="L982" t="s">
        <v>109</v>
      </c>
      <c r="M982" t="s">
        <v>340</v>
      </c>
      <c r="N982" t="str">
        <f t="shared" si="31"/>
        <v>March</v>
      </c>
    </row>
    <row r="983" spans="1:14" x14ac:dyDescent="0.3">
      <c r="A983" t="s">
        <v>1157</v>
      </c>
      <c r="B983" s="1">
        <v>3518</v>
      </c>
      <c r="C983" s="1">
        <f t="shared" si="30"/>
        <v>2467</v>
      </c>
      <c r="D983">
        <v>1051</v>
      </c>
      <c r="E983">
        <v>3</v>
      </c>
      <c r="F983" t="s">
        <v>47</v>
      </c>
      <c r="G983" t="s">
        <v>111</v>
      </c>
      <c r="H983" t="s">
        <v>17</v>
      </c>
      <c r="I983" s="2">
        <v>44084</v>
      </c>
      <c r="J983" t="s">
        <v>1158</v>
      </c>
      <c r="K983" t="s">
        <v>44</v>
      </c>
      <c r="L983" t="s">
        <v>94</v>
      </c>
      <c r="M983" t="s">
        <v>391</v>
      </c>
      <c r="N983" t="str">
        <f t="shared" si="31"/>
        <v>September</v>
      </c>
    </row>
    <row r="984" spans="1:14" x14ac:dyDescent="0.3">
      <c r="A984" t="s">
        <v>1157</v>
      </c>
      <c r="B984" s="1">
        <v>4157</v>
      </c>
      <c r="C984" s="1">
        <f t="shared" si="30"/>
        <v>2283</v>
      </c>
      <c r="D984">
        <v>1874</v>
      </c>
      <c r="E984">
        <v>8</v>
      </c>
      <c r="F984" t="s">
        <v>15</v>
      </c>
      <c r="G984" t="s">
        <v>41</v>
      </c>
      <c r="H984" t="s">
        <v>42</v>
      </c>
      <c r="I984" s="2">
        <v>44084</v>
      </c>
      <c r="J984" t="s">
        <v>1158</v>
      </c>
      <c r="K984" t="s">
        <v>44</v>
      </c>
      <c r="L984" t="s">
        <v>94</v>
      </c>
      <c r="M984" t="s">
        <v>391</v>
      </c>
      <c r="N984" t="str">
        <f t="shared" si="31"/>
        <v>September</v>
      </c>
    </row>
    <row r="985" spans="1:14" x14ac:dyDescent="0.3">
      <c r="A985" t="s">
        <v>1159</v>
      </c>
      <c r="B985" s="1">
        <v>3747</v>
      </c>
      <c r="C985" s="1">
        <f t="shared" si="30"/>
        <v>3337</v>
      </c>
      <c r="D985">
        <v>410</v>
      </c>
      <c r="E985">
        <v>5</v>
      </c>
      <c r="F985" t="s">
        <v>32</v>
      </c>
      <c r="G985" t="s">
        <v>59</v>
      </c>
      <c r="H985" t="s">
        <v>49</v>
      </c>
      <c r="I985" s="2">
        <v>44024</v>
      </c>
      <c r="J985" t="s">
        <v>1160</v>
      </c>
      <c r="K985" t="s">
        <v>23</v>
      </c>
      <c r="L985" t="s">
        <v>65</v>
      </c>
      <c r="M985" t="s">
        <v>464</v>
      </c>
      <c r="N985" t="str">
        <f t="shared" si="31"/>
        <v>July</v>
      </c>
    </row>
    <row r="986" spans="1:14" x14ac:dyDescent="0.3">
      <c r="A986" t="s">
        <v>1159</v>
      </c>
      <c r="B986" s="1">
        <v>3747</v>
      </c>
      <c r="C986" s="1">
        <f t="shared" si="30"/>
        <v>3337</v>
      </c>
      <c r="D986">
        <v>410</v>
      </c>
      <c r="E986">
        <v>5</v>
      </c>
      <c r="F986" t="s">
        <v>32</v>
      </c>
      <c r="G986" t="s">
        <v>59</v>
      </c>
      <c r="H986" t="s">
        <v>49</v>
      </c>
      <c r="I986" s="2">
        <v>44903</v>
      </c>
      <c r="J986" t="s">
        <v>1161</v>
      </c>
      <c r="K986" t="s">
        <v>27</v>
      </c>
      <c r="L986" t="s">
        <v>28</v>
      </c>
      <c r="M986" t="s">
        <v>154</v>
      </c>
      <c r="N986" t="str">
        <f t="shared" si="31"/>
        <v>December</v>
      </c>
    </row>
    <row r="987" spans="1:14" x14ac:dyDescent="0.3">
      <c r="A987" t="s">
        <v>1159</v>
      </c>
      <c r="B987" s="1">
        <v>3747</v>
      </c>
      <c r="C987" s="1">
        <f t="shared" si="30"/>
        <v>3337</v>
      </c>
      <c r="D987">
        <v>410</v>
      </c>
      <c r="E987">
        <v>5</v>
      </c>
      <c r="F987" t="s">
        <v>32</v>
      </c>
      <c r="G987" t="s">
        <v>59</v>
      </c>
      <c r="H987" t="s">
        <v>49</v>
      </c>
      <c r="I987" s="2">
        <v>45378</v>
      </c>
      <c r="J987" t="s">
        <v>1162</v>
      </c>
      <c r="K987" t="s">
        <v>100</v>
      </c>
      <c r="L987" t="s">
        <v>101</v>
      </c>
      <c r="M987" t="s">
        <v>340</v>
      </c>
      <c r="N987" t="str">
        <f t="shared" si="31"/>
        <v>March</v>
      </c>
    </row>
    <row r="988" spans="1:14" x14ac:dyDescent="0.3">
      <c r="A988" t="s">
        <v>1159</v>
      </c>
      <c r="B988" s="1">
        <v>3747</v>
      </c>
      <c r="C988" s="1">
        <f t="shared" si="30"/>
        <v>3337</v>
      </c>
      <c r="D988">
        <v>410</v>
      </c>
      <c r="E988">
        <v>5</v>
      </c>
      <c r="F988" t="s">
        <v>32</v>
      </c>
      <c r="G988" t="s">
        <v>59</v>
      </c>
      <c r="H988" t="s">
        <v>49</v>
      </c>
      <c r="I988" s="2">
        <v>44974</v>
      </c>
      <c r="J988" t="s">
        <v>1163</v>
      </c>
      <c r="K988" t="s">
        <v>23</v>
      </c>
      <c r="L988" t="s">
        <v>24</v>
      </c>
      <c r="M988" t="s">
        <v>95</v>
      </c>
      <c r="N988" t="str">
        <f t="shared" si="31"/>
        <v>February</v>
      </c>
    </row>
    <row r="989" spans="1:14" x14ac:dyDescent="0.3">
      <c r="A989" t="s">
        <v>1159</v>
      </c>
      <c r="B989" s="1">
        <v>3747</v>
      </c>
      <c r="C989" s="1">
        <f t="shared" si="30"/>
        <v>3337</v>
      </c>
      <c r="D989">
        <v>410</v>
      </c>
      <c r="E989">
        <v>5</v>
      </c>
      <c r="F989" t="s">
        <v>32</v>
      </c>
      <c r="G989" t="s">
        <v>59</v>
      </c>
      <c r="H989" t="s">
        <v>49</v>
      </c>
      <c r="I989" s="2">
        <v>44398</v>
      </c>
      <c r="J989" t="s">
        <v>1164</v>
      </c>
      <c r="K989" t="s">
        <v>44</v>
      </c>
      <c r="L989" t="s">
        <v>45</v>
      </c>
      <c r="M989" t="s">
        <v>29</v>
      </c>
      <c r="N989" t="str">
        <f t="shared" si="31"/>
        <v>July</v>
      </c>
    </row>
    <row r="990" spans="1:14" x14ac:dyDescent="0.3">
      <c r="A990" t="s">
        <v>1159</v>
      </c>
      <c r="B990" s="1">
        <v>3194</v>
      </c>
      <c r="C990" s="1">
        <f t="shared" si="30"/>
        <v>2660</v>
      </c>
      <c r="D990">
        <v>534</v>
      </c>
      <c r="E990">
        <v>4</v>
      </c>
      <c r="F990" t="s">
        <v>32</v>
      </c>
      <c r="G990" t="s">
        <v>80</v>
      </c>
      <c r="H990" t="s">
        <v>17</v>
      </c>
      <c r="I990" s="2">
        <v>44024</v>
      </c>
      <c r="J990" t="s">
        <v>1160</v>
      </c>
      <c r="K990" t="s">
        <v>23</v>
      </c>
      <c r="L990" t="s">
        <v>65</v>
      </c>
      <c r="M990" t="s">
        <v>464</v>
      </c>
      <c r="N990" t="str">
        <f t="shared" si="31"/>
        <v>July</v>
      </c>
    </row>
    <row r="991" spans="1:14" x14ac:dyDescent="0.3">
      <c r="A991" t="s">
        <v>1159</v>
      </c>
      <c r="B991" s="1">
        <v>3194</v>
      </c>
      <c r="C991" s="1">
        <f t="shared" si="30"/>
        <v>2660</v>
      </c>
      <c r="D991">
        <v>534</v>
      </c>
      <c r="E991">
        <v>4</v>
      </c>
      <c r="F991" t="s">
        <v>32</v>
      </c>
      <c r="G991" t="s">
        <v>80</v>
      </c>
      <c r="H991" t="s">
        <v>17</v>
      </c>
      <c r="I991" s="2">
        <v>44903</v>
      </c>
      <c r="J991" t="s">
        <v>1161</v>
      </c>
      <c r="K991" t="s">
        <v>27</v>
      </c>
      <c r="L991" t="s">
        <v>28</v>
      </c>
      <c r="M991" t="s">
        <v>154</v>
      </c>
      <c r="N991" t="str">
        <f t="shared" si="31"/>
        <v>December</v>
      </c>
    </row>
    <row r="992" spans="1:14" x14ac:dyDescent="0.3">
      <c r="A992" t="s">
        <v>1159</v>
      </c>
      <c r="B992" s="1">
        <v>3194</v>
      </c>
      <c r="C992" s="1">
        <f t="shared" si="30"/>
        <v>2660</v>
      </c>
      <c r="D992">
        <v>534</v>
      </c>
      <c r="E992">
        <v>4</v>
      </c>
      <c r="F992" t="s">
        <v>32</v>
      </c>
      <c r="G992" t="s">
        <v>80</v>
      </c>
      <c r="H992" t="s">
        <v>17</v>
      </c>
      <c r="I992" s="2">
        <v>45378</v>
      </c>
      <c r="J992" t="s">
        <v>1162</v>
      </c>
      <c r="K992" t="s">
        <v>100</v>
      </c>
      <c r="L992" t="s">
        <v>101</v>
      </c>
      <c r="M992" t="s">
        <v>340</v>
      </c>
      <c r="N992" t="str">
        <f t="shared" si="31"/>
        <v>March</v>
      </c>
    </row>
    <row r="993" spans="1:14" x14ac:dyDescent="0.3">
      <c r="A993" t="s">
        <v>1159</v>
      </c>
      <c r="B993" s="1">
        <v>3194</v>
      </c>
      <c r="C993" s="1">
        <f t="shared" si="30"/>
        <v>2660</v>
      </c>
      <c r="D993">
        <v>534</v>
      </c>
      <c r="E993">
        <v>4</v>
      </c>
      <c r="F993" t="s">
        <v>32</v>
      </c>
      <c r="G993" t="s">
        <v>80</v>
      </c>
      <c r="H993" t="s">
        <v>17</v>
      </c>
      <c r="I993" s="2">
        <v>44974</v>
      </c>
      <c r="J993" t="s">
        <v>1163</v>
      </c>
      <c r="K993" t="s">
        <v>23</v>
      </c>
      <c r="L993" t="s">
        <v>24</v>
      </c>
      <c r="M993" t="s">
        <v>95</v>
      </c>
      <c r="N993" t="str">
        <f t="shared" si="31"/>
        <v>February</v>
      </c>
    </row>
    <row r="994" spans="1:14" x14ac:dyDescent="0.3">
      <c r="A994" t="s">
        <v>1159</v>
      </c>
      <c r="B994" s="1">
        <v>3194</v>
      </c>
      <c r="C994" s="1">
        <f t="shared" si="30"/>
        <v>2660</v>
      </c>
      <c r="D994">
        <v>534</v>
      </c>
      <c r="E994">
        <v>4</v>
      </c>
      <c r="F994" t="s">
        <v>32</v>
      </c>
      <c r="G994" t="s">
        <v>80</v>
      </c>
      <c r="H994" t="s">
        <v>17</v>
      </c>
      <c r="I994" s="2">
        <v>44398</v>
      </c>
      <c r="J994" t="s">
        <v>1164</v>
      </c>
      <c r="K994" t="s">
        <v>44</v>
      </c>
      <c r="L994" t="s">
        <v>45</v>
      </c>
      <c r="M994" t="s">
        <v>29</v>
      </c>
      <c r="N994" t="str">
        <f t="shared" si="31"/>
        <v>July</v>
      </c>
    </row>
    <row r="995" spans="1:14" x14ac:dyDescent="0.3">
      <c r="A995" t="s">
        <v>1165</v>
      </c>
      <c r="B995" s="1">
        <v>8548</v>
      </c>
      <c r="C995" s="1">
        <f t="shared" si="30"/>
        <v>6243</v>
      </c>
      <c r="D995">
        <v>2305</v>
      </c>
      <c r="E995">
        <v>1</v>
      </c>
      <c r="F995" t="s">
        <v>32</v>
      </c>
      <c r="G995" t="s">
        <v>80</v>
      </c>
      <c r="H995" t="s">
        <v>67</v>
      </c>
      <c r="I995" s="2">
        <v>44864</v>
      </c>
      <c r="J995" t="s">
        <v>1166</v>
      </c>
      <c r="K995" t="s">
        <v>19</v>
      </c>
      <c r="L995" t="s">
        <v>152</v>
      </c>
      <c r="M995" t="s">
        <v>98</v>
      </c>
      <c r="N995" t="str">
        <f t="shared" si="31"/>
        <v>October</v>
      </c>
    </row>
    <row r="996" spans="1:14" x14ac:dyDescent="0.3">
      <c r="A996" t="s">
        <v>1167</v>
      </c>
      <c r="B996" s="1">
        <v>6089</v>
      </c>
      <c r="C996" s="1">
        <f t="shared" si="30"/>
        <v>5950</v>
      </c>
      <c r="D996">
        <v>139</v>
      </c>
      <c r="E996">
        <v>19</v>
      </c>
      <c r="F996" t="s">
        <v>47</v>
      </c>
      <c r="G996" t="s">
        <v>48</v>
      </c>
      <c r="H996" t="s">
        <v>34</v>
      </c>
      <c r="I996" s="2">
        <v>44196</v>
      </c>
      <c r="J996" t="s">
        <v>1168</v>
      </c>
      <c r="K996" t="s">
        <v>100</v>
      </c>
      <c r="L996" t="s">
        <v>109</v>
      </c>
      <c r="M996" t="s">
        <v>289</v>
      </c>
      <c r="N996" t="str">
        <f t="shared" si="31"/>
        <v>December</v>
      </c>
    </row>
    <row r="997" spans="1:14" x14ac:dyDescent="0.3">
      <c r="A997" t="s">
        <v>1167</v>
      </c>
      <c r="B997" s="1">
        <v>6089</v>
      </c>
      <c r="C997" s="1">
        <f t="shared" si="30"/>
        <v>5950</v>
      </c>
      <c r="D997">
        <v>139</v>
      </c>
      <c r="E997">
        <v>19</v>
      </c>
      <c r="F997" t="s">
        <v>47</v>
      </c>
      <c r="G997" t="s">
        <v>48</v>
      </c>
      <c r="H997" t="s">
        <v>34</v>
      </c>
      <c r="I997" s="2">
        <v>44666</v>
      </c>
      <c r="J997" t="s">
        <v>1169</v>
      </c>
      <c r="K997" t="s">
        <v>100</v>
      </c>
      <c r="L997" t="s">
        <v>119</v>
      </c>
      <c r="M997" t="s">
        <v>189</v>
      </c>
      <c r="N997" t="str">
        <f t="shared" si="31"/>
        <v>April</v>
      </c>
    </row>
    <row r="998" spans="1:14" x14ac:dyDescent="0.3">
      <c r="A998" t="s">
        <v>1167</v>
      </c>
      <c r="B998" s="1">
        <v>6089</v>
      </c>
      <c r="C998" s="1">
        <f t="shared" si="30"/>
        <v>5950</v>
      </c>
      <c r="D998">
        <v>139</v>
      </c>
      <c r="E998">
        <v>19</v>
      </c>
      <c r="F998" t="s">
        <v>47</v>
      </c>
      <c r="G998" t="s">
        <v>48</v>
      </c>
      <c r="H998" t="s">
        <v>34</v>
      </c>
      <c r="I998" s="2">
        <v>45021</v>
      </c>
      <c r="J998" t="s">
        <v>1170</v>
      </c>
      <c r="K998" t="s">
        <v>23</v>
      </c>
      <c r="L998" t="s">
        <v>24</v>
      </c>
      <c r="M998" t="s">
        <v>147</v>
      </c>
      <c r="N998" t="str">
        <f t="shared" si="31"/>
        <v>April</v>
      </c>
    </row>
    <row r="999" spans="1:14" x14ac:dyDescent="0.3">
      <c r="A999" t="s">
        <v>1167</v>
      </c>
      <c r="B999" s="1">
        <v>2586</v>
      </c>
      <c r="C999" s="1">
        <f t="shared" si="30"/>
        <v>1786</v>
      </c>
      <c r="D999">
        <v>800</v>
      </c>
      <c r="E999">
        <v>16</v>
      </c>
      <c r="F999" t="s">
        <v>47</v>
      </c>
      <c r="G999" t="s">
        <v>48</v>
      </c>
      <c r="H999" t="s">
        <v>17</v>
      </c>
      <c r="I999" s="2">
        <v>44196</v>
      </c>
      <c r="J999" t="s">
        <v>1168</v>
      </c>
      <c r="K999" t="s">
        <v>100</v>
      </c>
      <c r="L999" t="s">
        <v>109</v>
      </c>
      <c r="M999" t="s">
        <v>289</v>
      </c>
      <c r="N999" t="str">
        <f t="shared" si="31"/>
        <v>December</v>
      </c>
    </row>
    <row r="1000" spans="1:14" x14ac:dyDescent="0.3">
      <c r="A1000" t="s">
        <v>1167</v>
      </c>
      <c r="B1000" s="1">
        <v>2586</v>
      </c>
      <c r="C1000" s="1">
        <f t="shared" si="30"/>
        <v>1786</v>
      </c>
      <c r="D1000">
        <v>800</v>
      </c>
      <c r="E1000">
        <v>16</v>
      </c>
      <c r="F1000" t="s">
        <v>47</v>
      </c>
      <c r="G1000" t="s">
        <v>48</v>
      </c>
      <c r="H1000" t="s">
        <v>17</v>
      </c>
      <c r="I1000" s="2">
        <v>44666</v>
      </c>
      <c r="J1000" t="s">
        <v>1169</v>
      </c>
      <c r="K1000" t="s">
        <v>100</v>
      </c>
      <c r="L1000" t="s">
        <v>119</v>
      </c>
      <c r="M1000" t="s">
        <v>189</v>
      </c>
      <c r="N1000" t="str">
        <f t="shared" si="31"/>
        <v>April</v>
      </c>
    </row>
    <row r="1001" spans="1:14" x14ac:dyDescent="0.3">
      <c r="A1001" t="s">
        <v>1167</v>
      </c>
      <c r="B1001" s="1">
        <v>2586</v>
      </c>
      <c r="C1001" s="1">
        <f t="shared" si="30"/>
        <v>1786</v>
      </c>
      <c r="D1001">
        <v>800</v>
      </c>
      <c r="E1001">
        <v>16</v>
      </c>
      <c r="F1001" t="s">
        <v>47</v>
      </c>
      <c r="G1001" t="s">
        <v>48</v>
      </c>
      <c r="H1001" t="s">
        <v>17</v>
      </c>
      <c r="I1001" s="2">
        <v>45021</v>
      </c>
      <c r="J1001" t="s">
        <v>1170</v>
      </c>
      <c r="K1001" t="s">
        <v>23</v>
      </c>
      <c r="L1001" t="s">
        <v>24</v>
      </c>
      <c r="M1001" t="s">
        <v>147</v>
      </c>
      <c r="N1001" t="str">
        <f t="shared" si="31"/>
        <v>April</v>
      </c>
    </row>
    <row r="1002" spans="1:14" x14ac:dyDescent="0.3">
      <c r="A1002" t="s">
        <v>1167</v>
      </c>
      <c r="B1002" s="1">
        <v>3757</v>
      </c>
      <c r="C1002" s="1">
        <f t="shared" si="30"/>
        <v>2131</v>
      </c>
      <c r="D1002">
        <v>1626</v>
      </c>
      <c r="E1002">
        <v>9</v>
      </c>
      <c r="F1002" t="s">
        <v>32</v>
      </c>
      <c r="G1002" t="s">
        <v>66</v>
      </c>
      <c r="H1002" t="s">
        <v>17</v>
      </c>
      <c r="I1002" s="2">
        <v>44196</v>
      </c>
      <c r="J1002" t="s">
        <v>1168</v>
      </c>
      <c r="K1002" t="s">
        <v>100</v>
      </c>
      <c r="L1002" t="s">
        <v>109</v>
      </c>
      <c r="M1002" t="s">
        <v>289</v>
      </c>
      <c r="N1002" t="str">
        <f t="shared" si="31"/>
        <v>December</v>
      </c>
    </row>
    <row r="1003" spans="1:14" x14ac:dyDescent="0.3">
      <c r="A1003" t="s">
        <v>1167</v>
      </c>
      <c r="B1003" s="1">
        <v>3757</v>
      </c>
      <c r="C1003" s="1">
        <f t="shared" si="30"/>
        <v>2131</v>
      </c>
      <c r="D1003">
        <v>1626</v>
      </c>
      <c r="E1003">
        <v>9</v>
      </c>
      <c r="F1003" t="s">
        <v>32</v>
      </c>
      <c r="G1003" t="s">
        <v>66</v>
      </c>
      <c r="H1003" t="s">
        <v>17</v>
      </c>
      <c r="I1003" s="2">
        <v>44666</v>
      </c>
      <c r="J1003" t="s">
        <v>1169</v>
      </c>
      <c r="K1003" t="s">
        <v>100</v>
      </c>
      <c r="L1003" t="s">
        <v>119</v>
      </c>
      <c r="M1003" t="s">
        <v>189</v>
      </c>
      <c r="N1003" t="str">
        <f t="shared" si="31"/>
        <v>April</v>
      </c>
    </row>
    <row r="1004" spans="1:14" x14ac:dyDescent="0.3">
      <c r="A1004" t="s">
        <v>1167</v>
      </c>
      <c r="B1004" s="1">
        <v>3757</v>
      </c>
      <c r="C1004" s="1">
        <f t="shared" si="30"/>
        <v>2131</v>
      </c>
      <c r="D1004">
        <v>1626</v>
      </c>
      <c r="E1004">
        <v>9</v>
      </c>
      <c r="F1004" t="s">
        <v>32</v>
      </c>
      <c r="G1004" t="s">
        <v>66</v>
      </c>
      <c r="H1004" t="s">
        <v>17</v>
      </c>
      <c r="I1004" s="2">
        <v>45021</v>
      </c>
      <c r="J1004" t="s">
        <v>1170</v>
      </c>
      <c r="K1004" t="s">
        <v>23</v>
      </c>
      <c r="L1004" t="s">
        <v>24</v>
      </c>
      <c r="M1004" t="s">
        <v>147</v>
      </c>
      <c r="N1004" t="str">
        <f t="shared" si="31"/>
        <v>April</v>
      </c>
    </row>
    <row r="1005" spans="1:14" x14ac:dyDescent="0.3">
      <c r="A1005" t="s">
        <v>1171</v>
      </c>
      <c r="B1005" s="1">
        <v>5193</v>
      </c>
      <c r="C1005" s="1">
        <f t="shared" si="30"/>
        <v>2663</v>
      </c>
      <c r="D1005">
        <v>2530</v>
      </c>
      <c r="E1005">
        <v>5</v>
      </c>
      <c r="F1005" t="s">
        <v>47</v>
      </c>
      <c r="G1005" t="s">
        <v>62</v>
      </c>
      <c r="H1005" t="s">
        <v>34</v>
      </c>
      <c r="I1005" s="2">
        <v>44498</v>
      </c>
      <c r="J1005" t="s">
        <v>1172</v>
      </c>
      <c r="K1005" t="s">
        <v>44</v>
      </c>
      <c r="L1005" t="s">
        <v>77</v>
      </c>
      <c r="M1005" t="s">
        <v>39</v>
      </c>
      <c r="N1005" t="str">
        <f t="shared" si="31"/>
        <v>October</v>
      </c>
    </row>
    <row r="1006" spans="1:14" x14ac:dyDescent="0.3">
      <c r="A1006" t="s">
        <v>1171</v>
      </c>
      <c r="B1006" s="1">
        <v>5193</v>
      </c>
      <c r="C1006" s="1">
        <f t="shared" si="30"/>
        <v>2663</v>
      </c>
      <c r="D1006">
        <v>2530</v>
      </c>
      <c r="E1006">
        <v>5</v>
      </c>
      <c r="F1006" t="s">
        <v>47</v>
      </c>
      <c r="G1006" t="s">
        <v>62</v>
      </c>
      <c r="H1006" t="s">
        <v>34</v>
      </c>
      <c r="I1006" s="2">
        <v>45655</v>
      </c>
      <c r="J1006" t="s">
        <v>1173</v>
      </c>
      <c r="K1006" t="s">
        <v>19</v>
      </c>
      <c r="L1006" t="s">
        <v>20</v>
      </c>
      <c r="M1006" t="s">
        <v>25</v>
      </c>
      <c r="N1006" t="str">
        <f t="shared" si="31"/>
        <v>December</v>
      </c>
    </row>
    <row r="1007" spans="1:14" x14ac:dyDescent="0.3">
      <c r="A1007" t="s">
        <v>1174</v>
      </c>
      <c r="B1007" s="1">
        <v>7493</v>
      </c>
      <c r="C1007" s="1">
        <f t="shared" si="30"/>
        <v>7397</v>
      </c>
      <c r="D1007">
        <v>96</v>
      </c>
      <c r="E1007">
        <v>3</v>
      </c>
      <c r="F1007" t="s">
        <v>15</v>
      </c>
      <c r="G1007" t="s">
        <v>16</v>
      </c>
      <c r="H1007" t="s">
        <v>17</v>
      </c>
      <c r="I1007" s="2">
        <v>44054</v>
      </c>
      <c r="J1007" t="s">
        <v>1175</v>
      </c>
      <c r="K1007" t="s">
        <v>100</v>
      </c>
      <c r="L1007" t="s">
        <v>119</v>
      </c>
      <c r="M1007" t="s">
        <v>187</v>
      </c>
      <c r="N1007" t="str">
        <f t="shared" si="31"/>
        <v>August</v>
      </c>
    </row>
    <row r="1008" spans="1:14" x14ac:dyDescent="0.3">
      <c r="A1008" t="s">
        <v>1176</v>
      </c>
      <c r="B1008" s="1">
        <v>2062</v>
      </c>
      <c r="C1008" s="1">
        <f t="shared" si="30"/>
        <v>1214</v>
      </c>
      <c r="D1008">
        <v>848</v>
      </c>
      <c r="E1008">
        <v>6</v>
      </c>
      <c r="F1008" t="s">
        <v>32</v>
      </c>
      <c r="G1008" t="s">
        <v>59</v>
      </c>
      <c r="H1008" t="s">
        <v>49</v>
      </c>
      <c r="I1008" s="2">
        <v>45355</v>
      </c>
      <c r="J1008" t="s">
        <v>1177</v>
      </c>
      <c r="K1008" t="s">
        <v>19</v>
      </c>
      <c r="L1008" t="s">
        <v>152</v>
      </c>
      <c r="M1008" t="s">
        <v>340</v>
      </c>
      <c r="N1008" t="str">
        <f t="shared" si="31"/>
        <v>March</v>
      </c>
    </row>
    <row r="1009" spans="1:14" x14ac:dyDescent="0.3">
      <c r="A1009" t="s">
        <v>1178</v>
      </c>
      <c r="B1009" s="1">
        <v>7163</v>
      </c>
      <c r="C1009" s="1">
        <f t="shared" si="30"/>
        <v>5627</v>
      </c>
      <c r="D1009">
        <v>1536</v>
      </c>
      <c r="E1009">
        <v>1</v>
      </c>
      <c r="F1009" t="s">
        <v>15</v>
      </c>
      <c r="G1009" t="s">
        <v>84</v>
      </c>
      <c r="H1009" t="s">
        <v>42</v>
      </c>
      <c r="I1009" s="2">
        <v>45216</v>
      </c>
      <c r="J1009" t="s">
        <v>1179</v>
      </c>
      <c r="K1009" t="s">
        <v>44</v>
      </c>
      <c r="L1009" t="s">
        <v>77</v>
      </c>
      <c r="M1009" t="s">
        <v>444</v>
      </c>
      <c r="N1009" t="str">
        <f t="shared" si="31"/>
        <v>October</v>
      </c>
    </row>
    <row r="1010" spans="1:14" x14ac:dyDescent="0.3">
      <c r="A1010" t="s">
        <v>1180</v>
      </c>
      <c r="B1010" s="1">
        <v>4026</v>
      </c>
      <c r="C1010" s="1">
        <f t="shared" si="30"/>
        <v>3863</v>
      </c>
      <c r="D1010">
        <v>163</v>
      </c>
      <c r="E1010">
        <v>6</v>
      </c>
      <c r="F1010" t="s">
        <v>15</v>
      </c>
      <c r="G1010" t="s">
        <v>84</v>
      </c>
      <c r="H1010" t="s">
        <v>67</v>
      </c>
      <c r="I1010" s="2">
        <v>45135</v>
      </c>
      <c r="J1010" t="s">
        <v>1181</v>
      </c>
      <c r="K1010" t="s">
        <v>27</v>
      </c>
      <c r="L1010" t="s">
        <v>53</v>
      </c>
      <c r="M1010" t="s">
        <v>107</v>
      </c>
      <c r="N1010" t="str">
        <f t="shared" si="31"/>
        <v>July</v>
      </c>
    </row>
    <row r="1011" spans="1:14" x14ac:dyDescent="0.3">
      <c r="A1011" t="s">
        <v>1182</v>
      </c>
      <c r="B1011" s="1">
        <v>1894</v>
      </c>
      <c r="C1011" s="1">
        <f t="shared" si="30"/>
        <v>1619</v>
      </c>
      <c r="D1011">
        <v>275</v>
      </c>
      <c r="E1011">
        <v>5</v>
      </c>
      <c r="F1011" t="s">
        <v>47</v>
      </c>
      <c r="G1011" t="s">
        <v>51</v>
      </c>
      <c r="H1011" t="s">
        <v>49</v>
      </c>
      <c r="I1011" s="2">
        <v>44527</v>
      </c>
      <c r="J1011" t="s">
        <v>1183</v>
      </c>
      <c r="K1011" t="s">
        <v>19</v>
      </c>
      <c r="L1011" t="s">
        <v>20</v>
      </c>
      <c r="M1011" t="s">
        <v>177</v>
      </c>
      <c r="N1011" t="str">
        <f t="shared" si="31"/>
        <v>November</v>
      </c>
    </row>
    <row r="1012" spans="1:14" x14ac:dyDescent="0.3">
      <c r="A1012" t="s">
        <v>1182</v>
      </c>
      <c r="B1012" s="1">
        <v>7144</v>
      </c>
      <c r="C1012" s="1">
        <f t="shared" si="30"/>
        <v>6952</v>
      </c>
      <c r="D1012">
        <v>192</v>
      </c>
      <c r="E1012">
        <v>13</v>
      </c>
      <c r="F1012" t="s">
        <v>15</v>
      </c>
      <c r="G1012" t="s">
        <v>16</v>
      </c>
      <c r="H1012" t="s">
        <v>49</v>
      </c>
      <c r="I1012" s="2">
        <v>44527</v>
      </c>
      <c r="J1012" t="s">
        <v>1183</v>
      </c>
      <c r="K1012" t="s">
        <v>19</v>
      </c>
      <c r="L1012" t="s">
        <v>20</v>
      </c>
      <c r="M1012" t="s">
        <v>177</v>
      </c>
      <c r="N1012" t="str">
        <f t="shared" si="31"/>
        <v>November</v>
      </c>
    </row>
    <row r="1013" spans="1:14" x14ac:dyDescent="0.3">
      <c r="A1013" t="s">
        <v>1184</v>
      </c>
      <c r="B1013" s="1">
        <v>3482</v>
      </c>
      <c r="C1013" s="1">
        <f t="shared" si="30"/>
        <v>1928</v>
      </c>
      <c r="D1013">
        <v>1554</v>
      </c>
      <c r="E1013">
        <v>15</v>
      </c>
      <c r="F1013" t="s">
        <v>15</v>
      </c>
      <c r="G1013" t="s">
        <v>41</v>
      </c>
      <c r="H1013" t="s">
        <v>34</v>
      </c>
      <c r="I1013" s="2">
        <v>44083</v>
      </c>
      <c r="J1013" t="s">
        <v>1185</v>
      </c>
      <c r="K1013" t="s">
        <v>100</v>
      </c>
      <c r="L1013" t="s">
        <v>101</v>
      </c>
      <c r="M1013" t="s">
        <v>391</v>
      </c>
      <c r="N1013" t="str">
        <f t="shared" si="31"/>
        <v>September</v>
      </c>
    </row>
    <row r="1014" spans="1:14" x14ac:dyDescent="0.3">
      <c r="A1014" t="s">
        <v>1186</v>
      </c>
      <c r="B1014" s="1">
        <v>4172</v>
      </c>
      <c r="C1014" s="1">
        <f t="shared" si="30"/>
        <v>3937</v>
      </c>
      <c r="D1014">
        <v>235</v>
      </c>
      <c r="E1014">
        <v>5</v>
      </c>
      <c r="F1014" t="s">
        <v>32</v>
      </c>
      <c r="G1014" t="s">
        <v>66</v>
      </c>
      <c r="H1014" t="s">
        <v>42</v>
      </c>
      <c r="I1014" s="2">
        <v>44349</v>
      </c>
      <c r="J1014" t="s">
        <v>1187</v>
      </c>
      <c r="K1014" t="s">
        <v>100</v>
      </c>
      <c r="L1014" t="s">
        <v>119</v>
      </c>
      <c r="M1014" t="s">
        <v>127</v>
      </c>
      <c r="N1014" t="str">
        <f t="shared" si="31"/>
        <v>June</v>
      </c>
    </row>
    <row r="1015" spans="1:14" x14ac:dyDescent="0.3">
      <c r="A1015" t="s">
        <v>1186</v>
      </c>
      <c r="B1015" s="1">
        <v>4172</v>
      </c>
      <c r="C1015" s="1">
        <f t="shared" si="30"/>
        <v>3937</v>
      </c>
      <c r="D1015">
        <v>235</v>
      </c>
      <c r="E1015">
        <v>5</v>
      </c>
      <c r="F1015" t="s">
        <v>32</v>
      </c>
      <c r="G1015" t="s">
        <v>66</v>
      </c>
      <c r="H1015" t="s">
        <v>42</v>
      </c>
      <c r="I1015" s="2">
        <v>44795</v>
      </c>
      <c r="J1015" t="s">
        <v>1188</v>
      </c>
      <c r="K1015" t="s">
        <v>19</v>
      </c>
      <c r="L1015" t="s">
        <v>36</v>
      </c>
      <c r="M1015" t="s">
        <v>211</v>
      </c>
      <c r="N1015" t="str">
        <f t="shared" si="31"/>
        <v>August</v>
      </c>
    </row>
    <row r="1016" spans="1:14" x14ac:dyDescent="0.3">
      <c r="A1016" t="s">
        <v>1186</v>
      </c>
      <c r="B1016" s="1">
        <v>4172</v>
      </c>
      <c r="C1016" s="1">
        <f t="shared" si="30"/>
        <v>3937</v>
      </c>
      <c r="D1016">
        <v>235</v>
      </c>
      <c r="E1016">
        <v>5</v>
      </c>
      <c r="F1016" t="s">
        <v>32</v>
      </c>
      <c r="G1016" t="s">
        <v>66</v>
      </c>
      <c r="H1016" t="s">
        <v>42</v>
      </c>
      <c r="I1016" s="2">
        <v>45398</v>
      </c>
      <c r="J1016" t="s">
        <v>1189</v>
      </c>
      <c r="K1016" t="s">
        <v>23</v>
      </c>
      <c r="L1016" t="s">
        <v>65</v>
      </c>
      <c r="M1016" t="s">
        <v>237</v>
      </c>
      <c r="N1016" t="str">
        <f t="shared" si="31"/>
        <v>April</v>
      </c>
    </row>
    <row r="1017" spans="1:14" x14ac:dyDescent="0.3">
      <c r="A1017" t="s">
        <v>1190</v>
      </c>
      <c r="B1017" s="1">
        <v>6265</v>
      </c>
      <c r="C1017" s="1">
        <f t="shared" si="30"/>
        <v>6110</v>
      </c>
      <c r="D1017">
        <v>155</v>
      </c>
      <c r="E1017">
        <v>8</v>
      </c>
      <c r="F1017" t="s">
        <v>47</v>
      </c>
      <c r="G1017" t="s">
        <v>62</v>
      </c>
      <c r="H1017" t="s">
        <v>67</v>
      </c>
      <c r="I1017" s="2">
        <v>44796</v>
      </c>
      <c r="J1017" t="s">
        <v>1191</v>
      </c>
      <c r="K1017" t="s">
        <v>100</v>
      </c>
      <c r="L1017" t="s">
        <v>109</v>
      </c>
      <c r="M1017" t="s">
        <v>211</v>
      </c>
      <c r="N1017" t="str">
        <f t="shared" si="31"/>
        <v>August</v>
      </c>
    </row>
    <row r="1018" spans="1:14" x14ac:dyDescent="0.3">
      <c r="A1018" t="s">
        <v>1190</v>
      </c>
      <c r="B1018" s="1">
        <v>6265</v>
      </c>
      <c r="C1018" s="1">
        <f t="shared" si="30"/>
        <v>6110</v>
      </c>
      <c r="D1018">
        <v>155</v>
      </c>
      <c r="E1018">
        <v>8</v>
      </c>
      <c r="F1018" t="s">
        <v>47</v>
      </c>
      <c r="G1018" t="s">
        <v>62</v>
      </c>
      <c r="H1018" t="s">
        <v>67</v>
      </c>
      <c r="I1018" s="2">
        <v>44267</v>
      </c>
      <c r="J1018" t="s">
        <v>1192</v>
      </c>
      <c r="K1018" t="s">
        <v>100</v>
      </c>
      <c r="L1018" t="s">
        <v>119</v>
      </c>
      <c r="M1018" t="s">
        <v>169</v>
      </c>
      <c r="N1018" t="str">
        <f t="shared" si="31"/>
        <v>March</v>
      </c>
    </row>
    <row r="1019" spans="1:14" x14ac:dyDescent="0.3">
      <c r="A1019" t="s">
        <v>1193</v>
      </c>
      <c r="B1019" s="1">
        <v>2931</v>
      </c>
      <c r="C1019" s="1">
        <f t="shared" si="30"/>
        <v>2719</v>
      </c>
      <c r="D1019">
        <v>212</v>
      </c>
      <c r="E1019">
        <v>7</v>
      </c>
      <c r="F1019" t="s">
        <v>15</v>
      </c>
      <c r="G1019" t="s">
        <v>16</v>
      </c>
      <c r="H1019" t="s">
        <v>49</v>
      </c>
      <c r="I1019" s="2">
        <v>45469</v>
      </c>
      <c r="J1019" t="s">
        <v>1194</v>
      </c>
      <c r="K1019" t="s">
        <v>23</v>
      </c>
      <c r="L1019" t="s">
        <v>174</v>
      </c>
      <c r="M1019" t="s">
        <v>264</v>
      </c>
      <c r="N1019" t="str">
        <f t="shared" si="31"/>
        <v>June</v>
      </c>
    </row>
    <row r="1020" spans="1:14" x14ac:dyDescent="0.3">
      <c r="A1020" t="s">
        <v>1193</v>
      </c>
      <c r="B1020" s="1">
        <v>2931</v>
      </c>
      <c r="C1020" s="1">
        <f t="shared" si="30"/>
        <v>2719</v>
      </c>
      <c r="D1020">
        <v>212</v>
      </c>
      <c r="E1020">
        <v>7</v>
      </c>
      <c r="F1020" t="s">
        <v>15</v>
      </c>
      <c r="G1020" t="s">
        <v>16</v>
      </c>
      <c r="H1020" t="s">
        <v>49</v>
      </c>
      <c r="I1020" s="2">
        <v>45268</v>
      </c>
      <c r="J1020" t="s">
        <v>1195</v>
      </c>
      <c r="K1020" t="s">
        <v>19</v>
      </c>
      <c r="L1020" t="s">
        <v>152</v>
      </c>
      <c r="M1020" t="s">
        <v>104</v>
      </c>
      <c r="N1020" t="str">
        <f t="shared" si="31"/>
        <v>December</v>
      </c>
    </row>
    <row r="1021" spans="1:14" x14ac:dyDescent="0.3">
      <c r="A1021" t="s">
        <v>1196</v>
      </c>
      <c r="B1021" s="1">
        <v>1146</v>
      </c>
      <c r="C1021" s="1">
        <f t="shared" si="30"/>
        <v>958</v>
      </c>
      <c r="D1021">
        <v>188</v>
      </c>
      <c r="E1021">
        <v>9</v>
      </c>
      <c r="F1021" t="s">
        <v>47</v>
      </c>
      <c r="G1021" t="s">
        <v>51</v>
      </c>
      <c r="H1021" t="s">
        <v>34</v>
      </c>
      <c r="I1021" s="2">
        <v>45623</v>
      </c>
      <c r="J1021" t="s">
        <v>1197</v>
      </c>
      <c r="K1021" t="s">
        <v>19</v>
      </c>
      <c r="L1021" t="s">
        <v>152</v>
      </c>
      <c r="M1021" t="s">
        <v>257</v>
      </c>
      <c r="N1021" t="str">
        <f t="shared" si="31"/>
        <v>November</v>
      </c>
    </row>
    <row r="1022" spans="1:14" x14ac:dyDescent="0.3">
      <c r="A1022" t="s">
        <v>1198</v>
      </c>
      <c r="B1022" s="1">
        <v>9215</v>
      </c>
      <c r="C1022" s="1">
        <f t="shared" si="30"/>
        <v>8448</v>
      </c>
      <c r="D1022">
        <v>767</v>
      </c>
      <c r="E1022">
        <v>13</v>
      </c>
      <c r="F1022" t="s">
        <v>15</v>
      </c>
      <c r="G1022" t="s">
        <v>30</v>
      </c>
      <c r="H1022" t="s">
        <v>67</v>
      </c>
      <c r="I1022" s="2">
        <v>44571</v>
      </c>
      <c r="J1022" t="s">
        <v>1199</v>
      </c>
      <c r="K1022" t="s">
        <v>19</v>
      </c>
      <c r="L1022" t="s">
        <v>152</v>
      </c>
      <c r="M1022" t="s">
        <v>89</v>
      </c>
      <c r="N1022" t="str">
        <f t="shared" si="31"/>
        <v>January</v>
      </c>
    </row>
    <row r="1023" spans="1:14" x14ac:dyDescent="0.3">
      <c r="A1023" t="s">
        <v>1198</v>
      </c>
      <c r="B1023" s="1">
        <v>9215</v>
      </c>
      <c r="C1023" s="1">
        <f t="shared" si="30"/>
        <v>8448</v>
      </c>
      <c r="D1023">
        <v>767</v>
      </c>
      <c r="E1023">
        <v>13</v>
      </c>
      <c r="F1023" t="s">
        <v>15</v>
      </c>
      <c r="G1023" t="s">
        <v>30</v>
      </c>
      <c r="H1023" t="s">
        <v>67</v>
      </c>
      <c r="I1023" s="2">
        <v>44501</v>
      </c>
      <c r="J1023" t="s">
        <v>1200</v>
      </c>
      <c r="K1023" t="s">
        <v>44</v>
      </c>
      <c r="L1023" t="s">
        <v>94</v>
      </c>
      <c r="M1023" t="s">
        <v>177</v>
      </c>
      <c r="N1023" t="str">
        <f t="shared" si="31"/>
        <v>November</v>
      </c>
    </row>
    <row r="1024" spans="1:14" x14ac:dyDescent="0.3">
      <c r="A1024" t="s">
        <v>1201</v>
      </c>
      <c r="B1024" s="1">
        <v>7895</v>
      </c>
      <c r="C1024" s="1">
        <f t="shared" si="30"/>
        <v>6890</v>
      </c>
      <c r="D1024">
        <v>1005</v>
      </c>
      <c r="E1024">
        <v>1</v>
      </c>
      <c r="F1024" t="s">
        <v>47</v>
      </c>
      <c r="G1024" t="s">
        <v>51</v>
      </c>
      <c r="H1024" t="s">
        <v>49</v>
      </c>
      <c r="I1024" s="2">
        <v>45227</v>
      </c>
      <c r="J1024" t="s">
        <v>1202</v>
      </c>
      <c r="K1024" t="s">
        <v>100</v>
      </c>
      <c r="L1024" t="s">
        <v>109</v>
      </c>
      <c r="M1024" t="s">
        <v>444</v>
      </c>
      <c r="N1024" t="str">
        <f t="shared" si="31"/>
        <v>October</v>
      </c>
    </row>
    <row r="1025" spans="1:14" x14ac:dyDescent="0.3">
      <c r="A1025" t="s">
        <v>1201</v>
      </c>
      <c r="B1025" s="1">
        <v>7895</v>
      </c>
      <c r="C1025" s="1">
        <f t="shared" si="30"/>
        <v>6890</v>
      </c>
      <c r="D1025">
        <v>1005</v>
      </c>
      <c r="E1025">
        <v>1</v>
      </c>
      <c r="F1025" t="s">
        <v>47</v>
      </c>
      <c r="G1025" t="s">
        <v>51</v>
      </c>
      <c r="H1025" t="s">
        <v>49</v>
      </c>
      <c r="I1025" s="2">
        <v>45717</v>
      </c>
      <c r="J1025" t="s">
        <v>1203</v>
      </c>
      <c r="K1025" t="s">
        <v>44</v>
      </c>
      <c r="L1025" t="s">
        <v>77</v>
      </c>
      <c r="M1025" t="s">
        <v>159</v>
      </c>
      <c r="N1025" t="str">
        <f t="shared" si="31"/>
        <v>March</v>
      </c>
    </row>
    <row r="1026" spans="1:14" x14ac:dyDescent="0.3">
      <c r="A1026" t="s">
        <v>1201</v>
      </c>
      <c r="B1026" s="1">
        <v>2740</v>
      </c>
      <c r="C1026" s="1">
        <f t="shared" ref="C1026:C1089" si="32">B1026-D1026</f>
        <v>2182</v>
      </c>
      <c r="D1026">
        <v>558</v>
      </c>
      <c r="E1026">
        <v>8</v>
      </c>
      <c r="F1026" t="s">
        <v>32</v>
      </c>
      <c r="G1026" t="s">
        <v>33</v>
      </c>
      <c r="H1026" t="s">
        <v>17</v>
      </c>
      <c r="I1026" s="2">
        <v>45227</v>
      </c>
      <c r="J1026" t="s">
        <v>1202</v>
      </c>
      <c r="K1026" t="s">
        <v>100</v>
      </c>
      <c r="L1026" t="s">
        <v>109</v>
      </c>
      <c r="M1026" t="s">
        <v>444</v>
      </c>
      <c r="N1026" t="str">
        <f t="shared" si="31"/>
        <v>October</v>
      </c>
    </row>
    <row r="1027" spans="1:14" x14ac:dyDescent="0.3">
      <c r="A1027" t="s">
        <v>1201</v>
      </c>
      <c r="B1027" s="1">
        <v>2740</v>
      </c>
      <c r="C1027" s="1">
        <f t="shared" si="32"/>
        <v>2182</v>
      </c>
      <c r="D1027">
        <v>558</v>
      </c>
      <c r="E1027">
        <v>8</v>
      </c>
      <c r="F1027" t="s">
        <v>32</v>
      </c>
      <c r="G1027" t="s">
        <v>33</v>
      </c>
      <c r="H1027" t="s">
        <v>17</v>
      </c>
      <c r="I1027" s="2">
        <v>45717</v>
      </c>
      <c r="J1027" t="s">
        <v>1203</v>
      </c>
      <c r="K1027" t="s">
        <v>44</v>
      </c>
      <c r="L1027" t="s">
        <v>77</v>
      </c>
      <c r="M1027" t="s">
        <v>159</v>
      </c>
      <c r="N1027" t="str">
        <f t="shared" ref="N1027:N1090" si="33">TEXT(DATE(LEFT(M1027,4),RIGHT(M1027,2),1),"mmmm")</f>
        <v>March</v>
      </c>
    </row>
    <row r="1028" spans="1:14" x14ac:dyDescent="0.3">
      <c r="A1028" t="s">
        <v>1204</v>
      </c>
      <c r="B1028" s="1">
        <v>5338</v>
      </c>
      <c r="C1028" s="1">
        <f t="shared" si="32"/>
        <v>3984</v>
      </c>
      <c r="D1028">
        <v>1354</v>
      </c>
      <c r="E1028">
        <v>16</v>
      </c>
      <c r="F1028" t="s">
        <v>32</v>
      </c>
      <c r="G1028" t="s">
        <v>59</v>
      </c>
      <c r="H1028" t="s">
        <v>17</v>
      </c>
      <c r="I1028" s="2">
        <v>45505</v>
      </c>
      <c r="J1028" t="s">
        <v>1205</v>
      </c>
      <c r="K1028" t="s">
        <v>23</v>
      </c>
      <c r="L1028" t="s">
        <v>174</v>
      </c>
      <c r="M1028" t="s">
        <v>116</v>
      </c>
      <c r="N1028" t="str">
        <f t="shared" si="33"/>
        <v>August</v>
      </c>
    </row>
    <row r="1029" spans="1:14" x14ac:dyDescent="0.3">
      <c r="A1029" t="s">
        <v>1204</v>
      </c>
      <c r="B1029" s="1">
        <v>5338</v>
      </c>
      <c r="C1029" s="1">
        <f t="shared" si="32"/>
        <v>3984</v>
      </c>
      <c r="D1029">
        <v>1354</v>
      </c>
      <c r="E1029">
        <v>16</v>
      </c>
      <c r="F1029" t="s">
        <v>32</v>
      </c>
      <c r="G1029" t="s">
        <v>59</v>
      </c>
      <c r="H1029" t="s">
        <v>17</v>
      </c>
      <c r="I1029" s="2">
        <v>45084</v>
      </c>
      <c r="J1029" t="s">
        <v>1206</v>
      </c>
      <c r="K1029" t="s">
        <v>27</v>
      </c>
      <c r="L1029" t="s">
        <v>28</v>
      </c>
      <c r="M1029" t="s">
        <v>21</v>
      </c>
      <c r="N1029" t="str">
        <f t="shared" si="33"/>
        <v>June</v>
      </c>
    </row>
    <row r="1030" spans="1:14" x14ac:dyDescent="0.3">
      <c r="A1030" t="s">
        <v>1204</v>
      </c>
      <c r="B1030" s="1">
        <v>5338</v>
      </c>
      <c r="C1030" s="1">
        <f t="shared" si="32"/>
        <v>3984</v>
      </c>
      <c r="D1030">
        <v>1354</v>
      </c>
      <c r="E1030">
        <v>16</v>
      </c>
      <c r="F1030" t="s">
        <v>32</v>
      </c>
      <c r="G1030" t="s">
        <v>59</v>
      </c>
      <c r="H1030" t="s">
        <v>17</v>
      </c>
      <c r="I1030" s="2">
        <v>45586</v>
      </c>
      <c r="J1030" t="s">
        <v>1207</v>
      </c>
      <c r="K1030" t="s">
        <v>19</v>
      </c>
      <c r="L1030" t="s">
        <v>36</v>
      </c>
      <c r="M1030" t="s">
        <v>362</v>
      </c>
      <c r="N1030" t="str">
        <f t="shared" si="33"/>
        <v>October</v>
      </c>
    </row>
    <row r="1031" spans="1:14" x14ac:dyDescent="0.3">
      <c r="A1031" t="s">
        <v>1204</v>
      </c>
      <c r="B1031" s="1">
        <v>5338</v>
      </c>
      <c r="C1031" s="1">
        <f t="shared" si="32"/>
        <v>3984</v>
      </c>
      <c r="D1031">
        <v>1354</v>
      </c>
      <c r="E1031">
        <v>16</v>
      </c>
      <c r="F1031" t="s">
        <v>32</v>
      </c>
      <c r="G1031" t="s">
        <v>59</v>
      </c>
      <c r="H1031" t="s">
        <v>17</v>
      </c>
      <c r="I1031" s="2">
        <v>44200</v>
      </c>
      <c r="J1031" t="s">
        <v>1208</v>
      </c>
      <c r="K1031" t="s">
        <v>27</v>
      </c>
      <c r="L1031" t="s">
        <v>28</v>
      </c>
      <c r="M1031" t="s">
        <v>278</v>
      </c>
      <c r="N1031" t="str">
        <f t="shared" si="33"/>
        <v>January</v>
      </c>
    </row>
    <row r="1032" spans="1:14" x14ac:dyDescent="0.3">
      <c r="A1032" t="s">
        <v>1209</v>
      </c>
      <c r="B1032" s="1">
        <v>3095</v>
      </c>
      <c r="C1032" s="1">
        <f t="shared" si="32"/>
        <v>2154</v>
      </c>
      <c r="D1032">
        <v>941</v>
      </c>
      <c r="E1032">
        <v>2</v>
      </c>
      <c r="F1032" t="s">
        <v>32</v>
      </c>
      <c r="G1032" t="s">
        <v>33</v>
      </c>
      <c r="H1032" t="s">
        <v>42</v>
      </c>
      <c r="I1032" s="2">
        <v>44670</v>
      </c>
      <c r="J1032" t="s">
        <v>1210</v>
      </c>
      <c r="K1032" t="s">
        <v>100</v>
      </c>
      <c r="L1032" t="s">
        <v>119</v>
      </c>
      <c r="M1032" t="s">
        <v>189</v>
      </c>
      <c r="N1032" t="str">
        <f t="shared" si="33"/>
        <v>April</v>
      </c>
    </row>
    <row r="1033" spans="1:14" x14ac:dyDescent="0.3">
      <c r="A1033" t="s">
        <v>1209</v>
      </c>
      <c r="B1033" s="1">
        <v>3095</v>
      </c>
      <c r="C1033" s="1">
        <f t="shared" si="32"/>
        <v>2154</v>
      </c>
      <c r="D1033">
        <v>941</v>
      </c>
      <c r="E1033">
        <v>2</v>
      </c>
      <c r="F1033" t="s">
        <v>32</v>
      </c>
      <c r="G1033" t="s">
        <v>33</v>
      </c>
      <c r="H1033" t="s">
        <v>42</v>
      </c>
      <c r="I1033" s="2">
        <v>44784</v>
      </c>
      <c r="J1033" t="s">
        <v>1211</v>
      </c>
      <c r="K1033" t="s">
        <v>73</v>
      </c>
      <c r="L1033" t="s">
        <v>88</v>
      </c>
      <c r="M1033" t="s">
        <v>211</v>
      </c>
      <c r="N1033" t="str">
        <f t="shared" si="33"/>
        <v>August</v>
      </c>
    </row>
    <row r="1034" spans="1:14" x14ac:dyDescent="0.3">
      <c r="A1034" t="s">
        <v>1212</v>
      </c>
      <c r="B1034" s="1">
        <v>6017</v>
      </c>
      <c r="C1034" s="1">
        <f t="shared" si="32"/>
        <v>3787</v>
      </c>
      <c r="D1034">
        <v>2230</v>
      </c>
      <c r="E1034">
        <v>13</v>
      </c>
      <c r="F1034" t="s">
        <v>15</v>
      </c>
      <c r="G1034" t="s">
        <v>30</v>
      </c>
      <c r="H1034" t="s">
        <v>34</v>
      </c>
      <c r="I1034" s="2">
        <v>45142</v>
      </c>
      <c r="J1034" t="s">
        <v>1213</v>
      </c>
      <c r="K1034" t="s">
        <v>23</v>
      </c>
      <c r="L1034" t="s">
        <v>174</v>
      </c>
      <c r="M1034" t="s">
        <v>123</v>
      </c>
      <c r="N1034" t="str">
        <f t="shared" si="33"/>
        <v>August</v>
      </c>
    </row>
    <row r="1035" spans="1:14" x14ac:dyDescent="0.3">
      <c r="A1035" t="s">
        <v>1214</v>
      </c>
      <c r="B1035" s="1">
        <v>4904</v>
      </c>
      <c r="C1035" s="1">
        <f t="shared" si="32"/>
        <v>4435</v>
      </c>
      <c r="D1035">
        <v>469</v>
      </c>
      <c r="E1035">
        <v>2</v>
      </c>
      <c r="F1035" t="s">
        <v>32</v>
      </c>
      <c r="G1035" t="s">
        <v>33</v>
      </c>
      <c r="H1035" t="s">
        <v>34</v>
      </c>
      <c r="I1035" s="2">
        <v>43946</v>
      </c>
      <c r="J1035" t="s">
        <v>1215</v>
      </c>
      <c r="K1035" t="s">
        <v>73</v>
      </c>
      <c r="L1035" t="s">
        <v>74</v>
      </c>
      <c r="M1035" t="s">
        <v>164</v>
      </c>
      <c r="N1035" t="str">
        <f t="shared" si="33"/>
        <v>April</v>
      </c>
    </row>
    <row r="1036" spans="1:14" x14ac:dyDescent="0.3">
      <c r="A1036" t="s">
        <v>1214</v>
      </c>
      <c r="B1036" s="1">
        <v>3080</v>
      </c>
      <c r="C1036" s="1">
        <f t="shared" si="32"/>
        <v>2343</v>
      </c>
      <c r="D1036">
        <v>737</v>
      </c>
      <c r="E1036">
        <v>6</v>
      </c>
      <c r="F1036" t="s">
        <v>32</v>
      </c>
      <c r="G1036" t="s">
        <v>80</v>
      </c>
      <c r="H1036" t="s">
        <v>17</v>
      </c>
      <c r="I1036" s="2">
        <v>43946</v>
      </c>
      <c r="J1036" t="s">
        <v>1215</v>
      </c>
      <c r="K1036" t="s">
        <v>73</v>
      </c>
      <c r="L1036" t="s">
        <v>74</v>
      </c>
      <c r="M1036" t="s">
        <v>164</v>
      </c>
      <c r="N1036" t="str">
        <f t="shared" si="33"/>
        <v>April</v>
      </c>
    </row>
    <row r="1037" spans="1:14" x14ac:dyDescent="0.3">
      <c r="A1037" t="s">
        <v>1216</v>
      </c>
      <c r="B1037" s="1">
        <v>1992</v>
      </c>
      <c r="C1037" s="1">
        <f t="shared" si="32"/>
        <v>1637</v>
      </c>
      <c r="D1037">
        <v>355</v>
      </c>
      <c r="E1037">
        <v>2</v>
      </c>
      <c r="F1037" t="s">
        <v>15</v>
      </c>
      <c r="G1037" t="s">
        <v>84</v>
      </c>
      <c r="H1037" t="s">
        <v>67</v>
      </c>
      <c r="I1037" s="2">
        <v>45640</v>
      </c>
      <c r="J1037" t="s">
        <v>1217</v>
      </c>
      <c r="K1037" t="s">
        <v>19</v>
      </c>
      <c r="L1037" t="s">
        <v>152</v>
      </c>
      <c r="M1037" t="s">
        <v>25</v>
      </c>
      <c r="N1037" t="str">
        <f t="shared" si="33"/>
        <v>December</v>
      </c>
    </row>
    <row r="1038" spans="1:14" x14ac:dyDescent="0.3">
      <c r="A1038" t="s">
        <v>1218</v>
      </c>
      <c r="B1038" s="1">
        <v>5346</v>
      </c>
      <c r="C1038" s="1">
        <f t="shared" si="32"/>
        <v>4100</v>
      </c>
      <c r="D1038">
        <v>1246</v>
      </c>
      <c r="E1038">
        <v>17</v>
      </c>
      <c r="F1038" t="s">
        <v>47</v>
      </c>
      <c r="G1038" t="s">
        <v>62</v>
      </c>
      <c r="H1038" t="s">
        <v>42</v>
      </c>
      <c r="I1038" s="2">
        <v>44767</v>
      </c>
      <c r="J1038" t="s">
        <v>1219</v>
      </c>
      <c r="K1038" t="s">
        <v>19</v>
      </c>
      <c r="L1038" t="s">
        <v>36</v>
      </c>
      <c r="M1038" t="s">
        <v>420</v>
      </c>
      <c r="N1038" t="str">
        <f t="shared" si="33"/>
        <v>July</v>
      </c>
    </row>
    <row r="1039" spans="1:14" x14ac:dyDescent="0.3">
      <c r="A1039" t="s">
        <v>1218</v>
      </c>
      <c r="B1039" s="1">
        <v>5346</v>
      </c>
      <c r="C1039" s="1">
        <f t="shared" si="32"/>
        <v>4100</v>
      </c>
      <c r="D1039">
        <v>1246</v>
      </c>
      <c r="E1039">
        <v>17</v>
      </c>
      <c r="F1039" t="s">
        <v>47</v>
      </c>
      <c r="G1039" t="s">
        <v>62</v>
      </c>
      <c r="H1039" t="s">
        <v>42</v>
      </c>
      <c r="I1039" s="2">
        <v>44688</v>
      </c>
      <c r="J1039" t="s">
        <v>1220</v>
      </c>
      <c r="K1039" t="s">
        <v>19</v>
      </c>
      <c r="L1039" t="s">
        <v>20</v>
      </c>
      <c r="M1039" t="s">
        <v>182</v>
      </c>
      <c r="N1039" t="str">
        <f t="shared" si="33"/>
        <v>May</v>
      </c>
    </row>
    <row r="1040" spans="1:14" x14ac:dyDescent="0.3">
      <c r="A1040" t="s">
        <v>1221</v>
      </c>
      <c r="B1040" s="1">
        <v>8422</v>
      </c>
      <c r="C1040" s="1">
        <f t="shared" si="32"/>
        <v>7529</v>
      </c>
      <c r="D1040">
        <v>893</v>
      </c>
      <c r="E1040">
        <v>18</v>
      </c>
      <c r="F1040" t="s">
        <v>15</v>
      </c>
      <c r="G1040" t="s">
        <v>30</v>
      </c>
      <c r="H1040" t="s">
        <v>34</v>
      </c>
      <c r="I1040" s="2">
        <v>44784</v>
      </c>
      <c r="J1040" t="s">
        <v>1222</v>
      </c>
      <c r="K1040" t="s">
        <v>44</v>
      </c>
      <c r="L1040" t="s">
        <v>94</v>
      </c>
      <c r="M1040" t="s">
        <v>211</v>
      </c>
      <c r="N1040" t="str">
        <f t="shared" si="33"/>
        <v>August</v>
      </c>
    </row>
    <row r="1041" spans="1:14" x14ac:dyDescent="0.3">
      <c r="A1041" t="s">
        <v>1221</v>
      </c>
      <c r="B1041" s="1">
        <v>8422</v>
      </c>
      <c r="C1041" s="1">
        <f t="shared" si="32"/>
        <v>7529</v>
      </c>
      <c r="D1041">
        <v>893</v>
      </c>
      <c r="E1041">
        <v>18</v>
      </c>
      <c r="F1041" t="s">
        <v>15</v>
      </c>
      <c r="G1041" t="s">
        <v>30</v>
      </c>
      <c r="H1041" t="s">
        <v>34</v>
      </c>
      <c r="I1041" s="2">
        <v>44785</v>
      </c>
      <c r="J1041" t="s">
        <v>1223</v>
      </c>
      <c r="K1041" t="s">
        <v>100</v>
      </c>
      <c r="L1041" t="s">
        <v>101</v>
      </c>
      <c r="M1041" t="s">
        <v>211</v>
      </c>
      <c r="N1041" t="str">
        <f t="shared" si="33"/>
        <v>August</v>
      </c>
    </row>
    <row r="1042" spans="1:14" x14ac:dyDescent="0.3">
      <c r="A1042" t="s">
        <v>1221</v>
      </c>
      <c r="B1042" s="1">
        <v>6105</v>
      </c>
      <c r="C1042" s="1">
        <f t="shared" si="32"/>
        <v>4658</v>
      </c>
      <c r="D1042">
        <v>1447</v>
      </c>
      <c r="E1042">
        <v>8</v>
      </c>
      <c r="F1042" t="s">
        <v>47</v>
      </c>
      <c r="G1042" t="s">
        <v>111</v>
      </c>
      <c r="H1042" t="s">
        <v>49</v>
      </c>
      <c r="I1042" s="2">
        <v>44784</v>
      </c>
      <c r="J1042" t="s">
        <v>1222</v>
      </c>
      <c r="K1042" t="s">
        <v>44</v>
      </c>
      <c r="L1042" t="s">
        <v>94</v>
      </c>
      <c r="M1042" t="s">
        <v>211</v>
      </c>
      <c r="N1042" t="str">
        <f t="shared" si="33"/>
        <v>August</v>
      </c>
    </row>
    <row r="1043" spans="1:14" x14ac:dyDescent="0.3">
      <c r="A1043" t="s">
        <v>1221</v>
      </c>
      <c r="B1043" s="1">
        <v>6105</v>
      </c>
      <c r="C1043" s="1">
        <f t="shared" si="32"/>
        <v>4658</v>
      </c>
      <c r="D1043">
        <v>1447</v>
      </c>
      <c r="E1043">
        <v>8</v>
      </c>
      <c r="F1043" t="s">
        <v>47</v>
      </c>
      <c r="G1043" t="s">
        <v>111</v>
      </c>
      <c r="H1043" t="s">
        <v>49</v>
      </c>
      <c r="I1043" s="2">
        <v>44785</v>
      </c>
      <c r="J1043" t="s">
        <v>1223</v>
      </c>
      <c r="K1043" t="s">
        <v>100</v>
      </c>
      <c r="L1043" t="s">
        <v>101</v>
      </c>
      <c r="M1043" t="s">
        <v>211</v>
      </c>
      <c r="N1043" t="str">
        <f t="shared" si="33"/>
        <v>August</v>
      </c>
    </row>
    <row r="1044" spans="1:14" x14ac:dyDescent="0.3">
      <c r="A1044" t="s">
        <v>1224</v>
      </c>
      <c r="B1044" s="1">
        <v>670</v>
      </c>
      <c r="C1044" s="1">
        <f t="shared" si="32"/>
        <v>585</v>
      </c>
      <c r="D1044">
        <v>85</v>
      </c>
      <c r="E1044">
        <v>9</v>
      </c>
      <c r="F1044" t="s">
        <v>32</v>
      </c>
      <c r="G1044" t="s">
        <v>33</v>
      </c>
      <c r="H1044" t="s">
        <v>42</v>
      </c>
      <c r="I1044" s="2">
        <v>45159</v>
      </c>
      <c r="J1044" t="s">
        <v>1225</v>
      </c>
      <c r="K1044" t="s">
        <v>73</v>
      </c>
      <c r="L1044" t="s">
        <v>140</v>
      </c>
      <c r="M1044" t="s">
        <v>123</v>
      </c>
      <c r="N1044" t="str">
        <f t="shared" si="33"/>
        <v>August</v>
      </c>
    </row>
    <row r="1045" spans="1:14" x14ac:dyDescent="0.3">
      <c r="A1045" t="s">
        <v>1226</v>
      </c>
      <c r="B1045" s="1">
        <v>4057</v>
      </c>
      <c r="C1045" s="1">
        <f t="shared" si="32"/>
        <v>3045</v>
      </c>
      <c r="D1045">
        <v>1012</v>
      </c>
      <c r="E1045">
        <v>6</v>
      </c>
      <c r="F1045" t="s">
        <v>15</v>
      </c>
      <c r="G1045" t="s">
        <v>41</v>
      </c>
      <c r="H1045" t="s">
        <v>49</v>
      </c>
      <c r="I1045" s="2">
        <v>44816</v>
      </c>
      <c r="J1045" t="s">
        <v>1227</v>
      </c>
      <c r="K1045" t="s">
        <v>44</v>
      </c>
      <c r="L1045" t="s">
        <v>77</v>
      </c>
      <c r="M1045" t="s">
        <v>133</v>
      </c>
      <c r="N1045" t="str">
        <f t="shared" si="33"/>
        <v>September</v>
      </c>
    </row>
    <row r="1046" spans="1:14" x14ac:dyDescent="0.3">
      <c r="A1046" t="s">
        <v>1228</v>
      </c>
      <c r="B1046" s="1">
        <v>8178</v>
      </c>
      <c r="C1046" s="1">
        <f t="shared" si="32"/>
        <v>5716</v>
      </c>
      <c r="D1046">
        <v>2462</v>
      </c>
      <c r="E1046">
        <v>10</v>
      </c>
      <c r="F1046" t="s">
        <v>32</v>
      </c>
      <c r="G1046" t="s">
        <v>33</v>
      </c>
      <c r="H1046" t="s">
        <v>17</v>
      </c>
      <c r="I1046" s="2">
        <v>45158</v>
      </c>
      <c r="J1046" t="s">
        <v>1229</v>
      </c>
      <c r="K1046" t="s">
        <v>44</v>
      </c>
      <c r="L1046" t="s">
        <v>45</v>
      </c>
      <c r="M1046" t="s">
        <v>123</v>
      </c>
      <c r="N1046" t="str">
        <f t="shared" si="33"/>
        <v>August</v>
      </c>
    </row>
    <row r="1047" spans="1:14" x14ac:dyDescent="0.3">
      <c r="A1047" t="s">
        <v>1230</v>
      </c>
      <c r="B1047" s="1">
        <v>8752</v>
      </c>
      <c r="C1047" s="1">
        <f t="shared" si="32"/>
        <v>7066</v>
      </c>
      <c r="D1047">
        <v>1686</v>
      </c>
      <c r="E1047">
        <v>9</v>
      </c>
      <c r="F1047" t="s">
        <v>47</v>
      </c>
      <c r="G1047" t="s">
        <v>48</v>
      </c>
      <c r="H1047" t="s">
        <v>34</v>
      </c>
      <c r="I1047" s="2">
        <v>44192</v>
      </c>
      <c r="J1047" t="s">
        <v>1231</v>
      </c>
      <c r="K1047" t="s">
        <v>100</v>
      </c>
      <c r="L1047" t="s">
        <v>109</v>
      </c>
      <c r="M1047" t="s">
        <v>289</v>
      </c>
      <c r="N1047" t="str">
        <f t="shared" si="33"/>
        <v>December</v>
      </c>
    </row>
    <row r="1048" spans="1:14" x14ac:dyDescent="0.3">
      <c r="A1048" t="s">
        <v>1230</v>
      </c>
      <c r="B1048" s="1">
        <v>8752</v>
      </c>
      <c r="C1048" s="1">
        <f t="shared" si="32"/>
        <v>7066</v>
      </c>
      <c r="D1048">
        <v>1686</v>
      </c>
      <c r="E1048">
        <v>9</v>
      </c>
      <c r="F1048" t="s">
        <v>47</v>
      </c>
      <c r="G1048" t="s">
        <v>48</v>
      </c>
      <c r="H1048" t="s">
        <v>34</v>
      </c>
      <c r="I1048" s="2">
        <v>45173</v>
      </c>
      <c r="J1048" t="s">
        <v>1232</v>
      </c>
      <c r="K1048" t="s">
        <v>23</v>
      </c>
      <c r="L1048" t="s">
        <v>174</v>
      </c>
      <c r="M1048" t="s">
        <v>275</v>
      </c>
      <c r="N1048" t="str">
        <f t="shared" si="33"/>
        <v>September</v>
      </c>
    </row>
    <row r="1049" spans="1:14" x14ac:dyDescent="0.3">
      <c r="A1049" t="s">
        <v>1230</v>
      </c>
      <c r="B1049" s="1">
        <v>8752</v>
      </c>
      <c r="C1049" s="1">
        <f t="shared" si="32"/>
        <v>7066</v>
      </c>
      <c r="D1049">
        <v>1686</v>
      </c>
      <c r="E1049">
        <v>9</v>
      </c>
      <c r="F1049" t="s">
        <v>47</v>
      </c>
      <c r="G1049" t="s">
        <v>48</v>
      </c>
      <c r="H1049" t="s">
        <v>34</v>
      </c>
      <c r="I1049" s="2">
        <v>44569</v>
      </c>
      <c r="J1049" t="s">
        <v>1233</v>
      </c>
      <c r="K1049" t="s">
        <v>23</v>
      </c>
      <c r="L1049" t="s">
        <v>24</v>
      </c>
      <c r="M1049" t="s">
        <v>89</v>
      </c>
      <c r="N1049" t="str">
        <f t="shared" si="33"/>
        <v>January</v>
      </c>
    </row>
    <row r="1050" spans="1:14" x14ac:dyDescent="0.3">
      <c r="A1050" t="s">
        <v>1234</v>
      </c>
      <c r="B1050" s="1">
        <v>8974</v>
      </c>
      <c r="C1050" s="1">
        <f t="shared" si="32"/>
        <v>4533</v>
      </c>
      <c r="D1050">
        <v>4441</v>
      </c>
      <c r="E1050">
        <v>16</v>
      </c>
      <c r="F1050" t="s">
        <v>15</v>
      </c>
      <c r="G1050" t="s">
        <v>30</v>
      </c>
      <c r="H1050" t="s">
        <v>42</v>
      </c>
      <c r="I1050" s="2">
        <v>45082</v>
      </c>
      <c r="J1050" t="s">
        <v>1235</v>
      </c>
      <c r="K1050" t="s">
        <v>27</v>
      </c>
      <c r="L1050" t="s">
        <v>53</v>
      </c>
      <c r="M1050" t="s">
        <v>21</v>
      </c>
      <c r="N1050" t="str">
        <f t="shared" si="33"/>
        <v>June</v>
      </c>
    </row>
    <row r="1051" spans="1:14" x14ac:dyDescent="0.3">
      <c r="A1051" t="s">
        <v>1236</v>
      </c>
      <c r="B1051" s="1">
        <v>9090</v>
      </c>
      <c r="C1051" s="1">
        <f t="shared" si="32"/>
        <v>5992</v>
      </c>
      <c r="D1051">
        <v>3098</v>
      </c>
      <c r="E1051">
        <v>16</v>
      </c>
      <c r="F1051" t="s">
        <v>15</v>
      </c>
      <c r="G1051" t="s">
        <v>84</v>
      </c>
      <c r="H1051" t="s">
        <v>49</v>
      </c>
      <c r="I1051" s="2">
        <v>44287</v>
      </c>
      <c r="J1051" t="s">
        <v>1237</v>
      </c>
      <c r="K1051" t="s">
        <v>73</v>
      </c>
      <c r="L1051" t="s">
        <v>74</v>
      </c>
      <c r="M1051" t="s">
        <v>141</v>
      </c>
      <c r="N1051" t="str">
        <f t="shared" si="33"/>
        <v>April</v>
      </c>
    </row>
    <row r="1052" spans="1:14" x14ac:dyDescent="0.3">
      <c r="A1052" t="s">
        <v>1236</v>
      </c>
      <c r="B1052" s="1">
        <v>9090</v>
      </c>
      <c r="C1052" s="1">
        <f t="shared" si="32"/>
        <v>5992</v>
      </c>
      <c r="D1052">
        <v>3098</v>
      </c>
      <c r="E1052">
        <v>16</v>
      </c>
      <c r="F1052" t="s">
        <v>15</v>
      </c>
      <c r="G1052" t="s">
        <v>84</v>
      </c>
      <c r="H1052" t="s">
        <v>49</v>
      </c>
      <c r="I1052" s="2">
        <v>45440</v>
      </c>
      <c r="J1052" t="s">
        <v>1238</v>
      </c>
      <c r="K1052" t="s">
        <v>23</v>
      </c>
      <c r="L1052" t="s">
        <v>65</v>
      </c>
      <c r="M1052" t="s">
        <v>37</v>
      </c>
      <c r="N1052" t="str">
        <f t="shared" si="33"/>
        <v>May</v>
      </c>
    </row>
    <row r="1053" spans="1:14" x14ac:dyDescent="0.3">
      <c r="A1053" t="s">
        <v>1236</v>
      </c>
      <c r="B1053" s="1">
        <v>851</v>
      </c>
      <c r="C1053" s="1">
        <f t="shared" si="32"/>
        <v>495</v>
      </c>
      <c r="D1053">
        <v>356</v>
      </c>
      <c r="E1053">
        <v>11</v>
      </c>
      <c r="F1053" t="s">
        <v>15</v>
      </c>
      <c r="G1053" t="s">
        <v>16</v>
      </c>
      <c r="H1053" t="s">
        <v>49</v>
      </c>
      <c r="I1053" s="2">
        <v>44287</v>
      </c>
      <c r="J1053" t="s">
        <v>1237</v>
      </c>
      <c r="K1053" t="s">
        <v>73</v>
      </c>
      <c r="L1053" t="s">
        <v>74</v>
      </c>
      <c r="M1053" t="s">
        <v>141</v>
      </c>
      <c r="N1053" t="str">
        <f t="shared" si="33"/>
        <v>April</v>
      </c>
    </row>
    <row r="1054" spans="1:14" x14ac:dyDescent="0.3">
      <c r="A1054" t="s">
        <v>1236</v>
      </c>
      <c r="B1054" s="1">
        <v>851</v>
      </c>
      <c r="C1054" s="1">
        <f t="shared" si="32"/>
        <v>495</v>
      </c>
      <c r="D1054">
        <v>356</v>
      </c>
      <c r="E1054">
        <v>11</v>
      </c>
      <c r="F1054" t="s">
        <v>15</v>
      </c>
      <c r="G1054" t="s">
        <v>16</v>
      </c>
      <c r="H1054" t="s">
        <v>49</v>
      </c>
      <c r="I1054" s="2">
        <v>45440</v>
      </c>
      <c r="J1054" t="s">
        <v>1238</v>
      </c>
      <c r="K1054" t="s">
        <v>23</v>
      </c>
      <c r="L1054" t="s">
        <v>65</v>
      </c>
      <c r="M1054" t="s">
        <v>37</v>
      </c>
      <c r="N1054" t="str">
        <f t="shared" si="33"/>
        <v>May</v>
      </c>
    </row>
    <row r="1055" spans="1:14" x14ac:dyDescent="0.3">
      <c r="A1055" t="s">
        <v>1239</v>
      </c>
      <c r="B1055" s="1">
        <v>5427</v>
      </c>
      <c r="C1055" s="1">
        <f t="shared" si="32"/>
        <v>4699</v>
      </c>
      <c r="D1055">
        <v>728</v>
      </c>
      <c r="E1055">
        <v>3</v>
      </c>
      <c r="F1055" t="s">
        <v>15</v>
      </c>
      <c r="G1055" t="s">
        <v>84</v>
      </c>
      <c r="H1055" t="s">
        <v>17</v>
      </c>
      <c r="I1055" s="2">
        <v>44994</v>
      </c>
      <c r="J1055" t="s">
        <v>1240</v>
      </c>
      <c r="K1055" t="s">
        <v>19</v>
      </c>
      <c r="L1055" t="s">
        <v>20</v>
      </c>
      <c r="M1055" t="s">
        <v>247</v>
      </c>
      <c r="N1055" t="str">
        <f t="shared" si="33"/>
        <v>March</v>
      </c>
    </row>
    <row r="1056" spans="1:14" x14ac:dyDescent="0.3">
      <c r="A1056" t="s">
        <v>1241</v>
      </c>
      <c r="B1056" s="1">
        <v>2695</v>
      </c>
      <c r="C1056" s="1">
        <f t="shared" si="32"/>
        <v>1781</v>
      </c>
      <c r="D1056">
        <v>914</v>
      </c>
      <c r="E1056">
        <v>15</v>
      </c>
      <c r="F1056" t="s">
        <v>47</v>
      </c>
      <c r="G1056" t="s">
        <v>111</v>
      </c>
      <c r="H1056" t="s">
        <v>34</v>
      </c>
      <c r="I1056" s="2">
        <v>44770</v>
      </c>
      <c r="J1056" t="s">
        <v>1242</v>
      </c>
      <c r="K1056" t="s">
        <v>23</v>
      </c>
      <c r="L1056" t="s">
        <v>174</v>
      </c>
      <c r="M1056" t="s">
        <v>420</v>
      </c>
      <c r="N1056" t="str">
        <f t="shared" si="33"/>
        <v>July</v>
      </c>
    </row>
    <row r="1057" spans="1:14" x14ac:dyDescent="0.3">
      <c r="A1057" t="s">
        <v>1241</v>
      </c>
      <c r="B1057" s="1">
        <v>2695</v>
      </c>
      <c r="C1057" s="1">
        <f t="shared" si="32"/>
        <v>1781</v>
      </c>
      <c r="D1057">
        <v>914</v>
      </c>
      <c r="E1057">
        <v>15</v>
      </c>
      <c r="F1057" t="s">
        <v>47</v>
      </c>
      <c r="G1057" t="s">
        <v>111</v>
      </c>
      <c r="H1057" t="s">
        <v>34</v>
      </c>
      <c r="I1057" s="2">
        <v>44364</v>
      </c>
      <c r="J1057" t="s">
        <v>1243</v>
      </c>
      <c r="K1057" t="s">
        <v>44</v>
      </c>
      <c r="L1057" t="s">
        <v>45</v>
      </c>
      <c r="M1057" t="s">
        <v>127</v>
      </c>
      <c r="N1057" t="str">
        <f t="shared" si="33"/>
        <v>June</v>
      </c>
    </row>
    <row r="1058" spans="1:14" x14ac:dyDescent="0.3">
      <c r="A1058" t="s">
        <v>1244</v>
      </c>
      <c r="B1058" s="1">
        <v>2386</v>
      </c>
      <c r="C1058" s="1">
        <f t="shared" si="32"/>
        <v>1387</v>
      </c>
      <c r="D1058">
        <v>999</v>
      </c>
      <c r="E1058">
        <v>3</v>
      </c>
      <c r="F1058" t="s">
        <v>32</v>
      </c>
      <c r="G1058" t="s">
        <v>33</v>
      </c>
      <c r="H1058" t="s">
        <v>67</v>
      </c>
      <c r="I1058" s="2">
        <v>45335</v>
      </c>
      <c r="J1058" t="s">
        <v>1245</v>
      </c>
      <c r="K1058" t="s">
        <v>19</v>
      </c>
      <c r="L1058" t="s">
        <v>20</v>
      </c>
      <c r="M1058" t="s">
        <v>220</v>
      </c>
      <c r="N1058" t="str">
        <f t="shared" si="33"/>
        <v>February</v>
      </c>
    </row>
    <row r="1059" spans="1:14" x14ac:dyDescent="0.3">
      <c r="A1059" t="s">
        <v>1246</v>
      </c>
      <c r="B1059" s="1">
        <v>2284</v>
      </c>
      <c r="C1059" s="1">
        <f t="shared" si="32"/>
        <v>2135</v>
      </c>
      <c r="D1059">
        <v>149</v>
      </c>
      <c r="E1059">
        <v>20</v>
      </c>
      <c r="F1059" t="s">
        <v>32</v>
      </c>
      <c r="G1059" t="s">
        <v>33</v>
      </c>
      <c r="H1059" t="s">
        <v>34</v>
      </c>
      <c r="I1059" s="2">
        <v>44414</v>
      </c>
      <c r="J1059" t="s">
        <v>1247</v>
      </c>
      <c r="K1059" t="s">
        <v>27</v>
      </c>
      <c r="L1059" t="s">
        <v>70</v>
      </c>
      <c r="M1059" t="s">
        <v>180</v>
      </c>
      <c r="N1059" t="str">
        <f t="shared" si="33"/>
        <v>August</v>
      </c>
    </row>
    <row r="1060" spans="1:14" x14ac:dyDescent="0.3">
      <c r="A1060" t="s">
        <v>1248</v>
      </c>
      <c r="B1060" s="1">
        <v>6034</v>
      </c>
      <c r="C1060" s="1">
        <f t="shared" si="32"/>
        <v>5426</v>
      </c>
      <c r="D1060">
        <v>608</v>
      </c>
      <c r="E1060">
        <v>8</v>
      </c>
      <c r="F1060" t="s">
        <v>15</v>
      </c>
      <c r="G1060" t="s">
        <v>84</v>
      </c>
      <c r="H1060" t="s">
        <v>42</v>
      </c>
      <c r="I1060" s="2">
        <v>44682</v>
      </c>
      <c r="J1060" t="s">
        <v>1249</v>
      </c>
      <c r="K1060" t="s">
        <v>73</v>
      </c>
      <c r="L1060" t="s">
        <v>140</v>
      </c>
      <c r="M1060" t="s">
        <v>182</v>
      </c>
      <c r="N1060" t="str">
        <f t="shared" si="33"/>
        <v>May</v>
      </c>
    </row>
    <row r="1061" spans="1:14" x14ac:dyDescent="0.3">
      <c r="A1061" t="s">
        <v>1248</v>
      </c>
      <c r="B1061" s="1">
        <v>8956</v>
      </c>
      <c r="C1061" s="1">
        <f t="shared" si="32"/>
        <v>5597</v>
      </c>
      <c r="D1061">
        <v>3359</v>
      </c>
      <c r="E1061">
        <v>13</v>
      </c>
      <c r="F1061" t="s">
        <v>47</v>
      </c>
      <c r="G1061" t="s">
        <v>111</v>
      </c>
      <c r="H1061" t="s">
        <v>49</v>
      </c>
      <c r="I1061" s="2">
        <v>44682</v>
      </c>
      <c r="J1061" t="s">
        <v>1249</v>
      </c>
      <c r="K1061" t="s">
        <v>73</v>
      </c>
      <c r="L1061" t="s">
        <v>140</v>
      </c>
      <c r="M1061" t="s">
        <v>182</v>
      </c>
      <c r="N1061" t="str">
        <f t="shared" si="33"/>
        <v>May</v>
      </c>
    </row>
    <row r="1062" spans="1:14" x14ac:dyDescent="0.3">
      <c r="A1062" t="s">
        <v>1250</v>
      </c>
      <c r="B1062" s="1">
        <v>7122</v>
      </c>
      <c r="C1062" s="1">
        <f t="shared" si="32"/>
        <v>5140</v>
      </c>
      <c r="D1062">
        <v>1982</v>
      </c>
      <c r="E1062">
        <v>7</v>
      </c>
      <c r="F1062" t="s">
        <v>32</v>
      </c>
      <c r="G1062" t="s">
        <v>59</v>
      </c>
      <c r="H1062" t="s">
        <v>42</v>
      </c>
      <c r="I1062" s="2">
        <v>45362</v>
      </c>
      <c r="J1062" t="s">
        <v>1251</v>
      </c>
      <c r="K1062" t="s">
        <v>23</v>
      </c>
      <c r="L1062" t="s">
        <v>174</v>
      </c>
      <c r="M1062" t="s">
        <v>340</v>
      </c>
      <c r="N1062" t="str">
        <f t="shared" si="33"/>
        <v>March</v>
      </c>
    </row>
    <row r="1063" spans="1:14" x14ac:dyDescent="0.3">
      <c r="A1063" t="s">
        <v>1252</v>
      </c>
      <c r="B1063" s="1">
        <v>9775</v>
      </c>
      <c r="C1063" s="1">
        <f t="shared" si="32"/>
        <v>5268</v>
      </c>
      <c r="D1063">
        <v>4507</v>
      </c>
      <c r="E1063">
        <v>5</v>
      </c>
      <c r="F1063" t="s">
        <v>32</v>
      </c>
      <c r="G1063" t="s">
        <v>59</v>
      </c>
      <c r="H1063" t="s">
        <v>17</v>
      </c>
      <c r="I1063" s="2">
        <v>44018</v>
      </c>
      <c r="J1063" t="s">
        <v>1253</v>
      </c>
      <c r="K1063" t="s">
        <v>100</v>
      </c>
      <c r="L1063" t="s">
        <v>109</v>
      </c>
      <c r="M1063" t="s">
        <v>464</v>
      </c>
      <c r="N1063" t="str">
        <f t="shared" si="33"/>
        <v>July</v>
      </c>
    </row>
    <row r="1064" spans="1:14" x14ac:dyDescent="0.3">
      <c r="A1064" t="s">
        <v>1254</v>
      </c>
      <c r="B1064" s="1">
        <v>3309</v>
      </c>
      <c r="C1064" s="1">
        <f t="shared" si="32"/>
        <v>3132</v>
      </c>
      <c r="D1064">
        <v>177</v>
      </c>
      <c r="E1064">
        <v>13</v>
      </c>
      <c r="F1064" t="s">
        <v>47</v>
      </c>
      <c r="G1064" t="s">
        <v>111</v>
      </c>
      <c r="H1064" t="s">
        <v>42</v>
      </c>
      <c r="I1064" s="2">
        <v>44182</v>
      </c>
      <c r="J1064" t="s">
        <v>1255</v>
      </c>
      <c r="K1064" t="s">
        <v>100</v>
      </c>
      <c r="L1064" t="s">
        <v>119</v>
      </c>
      <c r="M1064" t="s">
        <v>289</v>
      </c>
      <c r="N1064" t="str">
        <f t="shared" si="33"/>
        <v>December</v>
      </c>
    </row>
    <row r="1065" spans="1:14" x14ac:dyDescent="0.3">
      <c r="A1065" t="s">
        <v>1256</v>
      </c>
      <c r="B1065" s="1">
        <v>4163</v>
      </c>
      <c r="C1065" s="1">
        <f t="shared" si="32"/>
        <v>3266</v>
      </c>
      <c r="D1065">
        <v>897</v>
      </c>
      <c r="E1065">
        <v>14</v>
      </c>
      <c r="F1065" t="s">
        <v>15</v>
      </c>
      <c r="G1065" t="s">
        <v>16</v>
      </c>
      <c r="H1065" t="s">
        <v>67</v>
      </c>
      <c r="I1065" s="2">
        <v>44803</v>
      </c>
      <c r="J1065" t="s">
        <v>1257</v>
      </c>
      <c r="K1065" t="s">
        <v>23</v>
      </c>
      <c r="L1065" t="s">
        <v>65</v>
      </c>
      <c r="M1065" t="s">
        <v>211</v>
      </c>
      <c r="N1065" t="str">
        <f t="shared" si="33"/>
        <v>August</v>
      </c>
    </row>
    <row r="1066" spans="1:14" x14ac:dyDescent="0.3">
      <c r="A1066" t="s">
        <v>1256</v>
      </c>
      <c r="B1066" s="1">
        <v>4163</v>
      </c>
      <c r="C1066" s="1">
        <f t="shared" si="32"/>
        <v>3266</v>
      </c>
      <c r="D1066">
        <v>897</v>
      </c>
      <c r="E1066">
        <v>14</v>
      </c>
      <c r="F1066" t="s">
        <v>15</v>
      </c>
      <c r="G1066" t="s">
        <v>16</v>
      </c>
      <c r="H1066" t="s">
        <v>67</v>
      </c>
      <c r="I1066" s="2">
        <v>45715</v>
      </c>
      <c r="J1066" t="s">
        <v>1258</v>
      </c>
      <c r="K1066" t="s">
        <v>100</v>
      </c>
      <c r="L1066" t="s">
        <v>119</v>
      </c>
      <c r="M1066" t="s">
        <v>75</v>
      </c>
      <c r="N1066" t="str">
        <f t="shared" si="33"/>
        <v>February</v>
      </c>
    </row>
    <row r="1067" spans="1:14" x14ac:dyDescent="0.3">
      <c r="A1067" t="s">
        <v>1256</v>
      </c>
      <c r="B1067" s="1">
        <v>4163</v>
      </c>
      <c r="C1067" s="1">
        <f t="shared" si="32"/>
        <v>3266</v>
      </c>
      <c r="D1067">
        <v>897</v>
      </c>
      <c r="E1067">
        <v>14</v>
      </c>
      <c r="F1067" t="s">
        <v>15</v>
      </c>
      <c r="G1067" t="s">
        <v>16</v>
      </c>
      <c r="H1067" t="s">
        <v>67</v>
      </c>
      <c r="I1067" s="2">
        <v>44352</v>
      </c>
      <c r="J1067" t="s">
        <v>1259</v>
      </c>
      <c r="K1067" t="s">
        <v>19</v>
      </c>
      <c r="L1067" t="s">
        <v>36</v>
      </c>
      <c r="M1067" t="s">
        <v>127</v>
      </c>
      <c r="N1067" t="str">
        <f t="shared" si="33"/>
        <v>June</v>
      </c>
    </row>
    <row r="1068" spans="1:14" x14ac:dyDescent="0.3">
      <c r="A1068" t="s">
        <v>1260</v>
      </c>
      <c r="B1068" s="1">
        <v>5518</v>
      </c>
      <c r="C1068" s="1">
        <f t="shared" si="32"/>
        <v>4651</v>
      </c>
      <c r="D1068">
        <v>867</v>
      </c>
      <c r="E1068">
        <v>7</v>
      </c>
      <c r="F1068" t="s">
        <v>47</v>
      </c>
      <c r="G1068" t="s">
        <v>62</v>
      </c>
      <c r="H1068" t="s">
        <v>17</v>
      </c>
      <c r="I1068" s="2">
        <v>44917</v>
      </c>
      <c r="J1068" t="s">
        <v>1261</v>
      </c>
      <c r="K1068" t="s">
        <v>73</v>
      </c>
      <c r="L1068" t="s">
        <v>140</v>
      </c>
      <c r="M1068" t="s">
        <v>154</v>
      </c>
      <c r="N1068" t="str">
        <f t="shared" si="33"/>
        <v>December</v>
      </c>
    </row>
    <row r="1069" spans="1:14" x14ac:dyDescent="0.3">
      <c r="A1069" t="s">
        <v>1262</v>
      </c>
      <c r="B1069" s="1">
        <v>7566</v>
      </c>
      <c r="C1069" s="1">
        <f t="shared" si="32"/>
        <v>6960</v>
      </c>
      <c r="D1069">
        <v>606</v>
      </c>
      <c r="E1069">
        <v>6</v>
      </c>
      <c r="F1069" t="s">
        <v>15</v>
      </c>
      <c r="G1069" t="s">
        <v>84</v>
      </c>
      <c r="H1069" t="s">
        <v>34</v>
      </c>
      <c r="I1069" s="2">
        <v>45682</v>
      </c>
      <c r="J1069" t="s">
        <v>1263</v>
      </c>
      <c r="K1069" t="s">
        <v>100</v>
      </c>
      <c r="L1069" t="s">
        <v>101</v>
      </c>
      <c r="M1069" t="s">
        <v>310</v>
      </c>
      <c r="N1069" t="str">
        <f t="shared" si="33"/>
        <v>January</v>
      </c>
    </row>
    <row r="1070" spans="1:14" x14ac:dyDescent="0.3">
      <c r="A1070" t="s">
        <v>1262</v>
      </c>
      <c r="B1070" s="1">
        <v>7566</v>
      </c>
      <c r="C1070" s="1">
        <f t="shared" si="32"/>
        <v>6960</v>
      </c>
      <c r="D1070">
        <v>606</v>
      </c>
      <c r="E1070">
        <v>6</v>
      </c>
      <c r="F1070" t="s">
        <v>15</v>
      </c>
      <c r="G1070" t="s">
        <v>84</v>
      </c>
      <c r="H1070" t="s">
        <v>34</v>
      </c>
      <c r="I1070" s="2">
        <v>45702</v>
      </c>
      <c r="J1070" t="s">
        <v>1264</v>
      </c>
      <c r="K1070" t="s">
        <v>44</v>
      </c>
      <c r="L1070" t="s">
        <v>77</v>
      </c>
      <c r="M1070" t="s">
        <v>75</v>
      </c>
      <c r="N1070" t="str">
        <f t="shared" si="33"/>
        <v>February</v>
      </c>
    </row>
    <row r="1071" spans="1:14" x14ac:dyDescent="0.3">
      <c r="A1071" t="s">
        <v>1265</v>
      </c>
      <c r="B1071" s="1">
        <v>762</v>
      </c>
      <c r="C1071" s="1">
        <f t="shared" si="32"/>
        <v>670</v>
      </c>
      <c r="D1071">
        <v>92</v>
      </c>
      <c r="E1071">
        <v>11</v>
      </c>
      <c r="F1071" t="s">
        <v>15</v>
      </c>
      <c r="G1071" t="s">
        <v>30</v>
      </c>
      <c r="H1071" t="s">
        <v>67</v>
      </c>
      <c r="I1071" s="2">
        <v>44932</v>
      </c>
      <c r="J1071" t="s">
        <v>1266</v>
      </c>
      <c r="K1071" t="s">
        <v>23</v>
      </c>
      <c r="L1071" t="s">
        <v>65</v>
      </c>
      <c r="M1071" t="s">
        <v>335</v>
      </c>
      <c r="N1071" t="str">
        <f t="shared" si="33"/>
        <v>January</v>
      </c>
    </row>
    <row r="1072" spans="1:14" x14ac:dyDescent="0.3">
      <c r="A1072" t="s">
        <v>1267</v>
      </c>
      <c r="B1072" s="1">
        <v>3316</v>
      </c>
      <c r="C1072" s="1">
        <f t="shared" si="32"/>
        <v>3190</v>
      </c>
      <c r="D1072">
        <v>126</v>
      </c>
      <c r="E1072">
        <v>6</v>
      </c>
      <c r="F1072" t="s">
        <v>15</v>
      </c>
      <c r="G1072" t="s">
        <v>41</v>
      </c>
      <c r="H1072" t="s">
        <v>67</v>
      </c>
      <c r="I1072" s="2">
        <v>44115</v>
      </c>
      <c r="J1072" t="s">
        <v>1268</v>
      </c>
      <c r="K1072" t="s">
        <v>100</v>
      </c>
      <c r="L1072" t="s">
        <v>109</v>
      </c>
      <c r="M1072" t="s">
        <v>121</v>
      </c>
      <c r="N1072" t="str">
        <f t="shared" si="33"/>
        <v>October</v>
      </c>
    </row>
    <row r="1073" spans="1:14" x14ac:dyDescent="0.3">
      <c r="A1073" t="s">
        <v>1269</v>
      </c>
      <c r="B1073" s="1">
        <v>5994</v>
      </c>
      <c r="C1073" s="1">
        <f t="shared" si="32"/>
        <v>3168</v>
      </c>
      <c r="D1073">
        <v>2826</v>
      </c>
      <c r="E1073">
        <v>9</v>
      </c>
      <c r="F1073" t="s">
        <v>47</v>
      </c>
      <c r="G1073" t="s">
        <v>111</v>
      </c>
      <c r="H1073" t="s">
        <v>42</v>
      </c>
      <c r="I1073" s="2">
        <v>45070</v>
      </c>
      <c r="J1073" t="s">
        <v>1270</v>
      </c>
      <c r="K1073" t="s">
        <v>44</v>
      </c>
      <c r="L1073" t="s">
        <v>94</v>
      </c>
      <c r="M1073" t="s">
        <v>129</v>
      </c>
      <c r="N1073" t="str">
        <f t="shared" si="33"/>
        <v>May</v>
      </c>
    </row>
    <row r="1074" spans="1:14" x14ac:dyDescent="0.3">
      <c r="A1074" t="s">
        <v>1269</v>
      </c>
      <c r="B1074" s="1">
        <v>5994</v>
      </c>
      <c r="C1074" s="1">
        <f t="shared" si="32"/>
        <v>3168</v>
      </c>
      <c r="D1074">
        <v>2826</v>
      </c>
      <c r="E1074">
        <v>9</v>
      </c>
      <c r="F1074" t="s">
        <v>47</v>
      </c>
      <c r="G1074" t="s">
        <v>111</v>
      </c>
      <c r="H1074" t="s">
        <v>42</v>
      </c>
      <c r="I1074" s="2">
        <v>45363</v>
      </c>
      <c r="J1074" t="s">
        <v>1271</v>
      </c>
      <c r="K1074" t="s">
        <v>44</v>
      </c>
      <c r="L1074" t="s">
        <v>45</v>
      </c>
      <c r="M1074" t="s">
        <v>340</v>
      </c>
      <c r="N1074" t="str">
        <f t="shared" si="33"/>
        <v>March</v>
      </c>
    </row>
    <row r="1075" spans="1:14" x14ac:dyDescent="0.3">
      <c r="A1075" t="s">
        <v>1269</v>
      </c>
      <c r="B1075" s="1">
        <v>5994</v>
      </c>
      <c r="C1075" s="1">
        <f t="shared" si="32"/>
        <v>3168</v>
      </c>
      <c r="D1075">
        <v>2826</v>
      </c>
      <c r="E1075">
        <v>9</v>
      </c>
      <c r="F1075" t="s">
        <v>47</v>
      </c>
      <c r="G1075" t="s">
        <v>111</v>
      </c>
      <c r="H1075" t="s">
        <v>42</v>
      </c>
      <c r="I1075" s="2">
        <v>45368</v>
      </c>
      <c r="J1075" t="s">
        <v>1272</v>
      </c>
      <c r="K1075" t="s">
        <v>27</v>
      </c>
      <c r="L1075" t="s">
        <v>53</v>
      </c>
      <c r="M1075" t="s">
        <v>340</v>
      </c>
      <c r="N1075" t="str">
        <f t="shared" si="33"/>
        <v>March</v>
      </c>
    </row>
    <row r="1076" spans="1:14" x14ac:dyDescent="0.3">
      <c r="A1076" t="s">
        <v>1273</v>
      </c>
      <c r="B1076" s="1">
        <v>3854</v>
      </c>
      <c r="C1076" s="1">
        <f t="shared" si="32"/>
        <v>3609</v>
      </c>
      <c r="D1076">
        <v>245</v>
      </c>
      <c r="E1076">
        <v>19</v>
      </c>
      <c r="F1076" t="s">
        <v>15</v>
      </c>
      <c r="G1076" t="s">
        <v>41</v>
      </c>
      <c r="H1076" t="s">
        <v>67</v>
      </c>
      <c r="I1076" s="2">
        <v>44698</v>
      </c>
      <c r="J1076" t="s">
        <v>1274</v>
      </c>
      <c r="K1076" t="s">
        <v>100</v>
      </c>
      <c r="L1076" t="s">
        <v>101</v>
      </c>
      <c r="M1076" t="s">
        <v>182</v>
      </c>
      <c r="N1076" t="str">
        <f t="shared" si="33"/>
        <v>May</v>
      </c>
    </row>
    <row r="1077" spans="1:14" x14ac:dyDescent="0.3">
      <c r="A1077" t="s">
        <v>1275</v>
      </c>
      <c r="B1077" s="1">
        <v>7019</v>
      </c>
      <c r="C1077" s="1">
        <f t="shared" si="32"/>
        <v>4342</v>
      </c>
      <c r="D1077">
        <v>2677</v>
      </c>
      <c r="E1077">
        <v>15</v>
      </c>
      <c r="F1077" t="s">
        <v>32</v>
      </c>
      <c r="G1077" t="s">
        <v>59</v>
      </c>
      <c r="H1077" t="s">
        <v>17</v>
      </c>
      <c r="I1077" s="2">
        <v>44186</v>
      </c>
      <c r="J1077" t="s">
        <v>1276</v>
      </c>
      <c r="K1077" t="s">
        <v>19</v>
      </c>
      <c r="L1077" t="s">
        <v>20</v>
      </c>
      <c r="M1077" t="s">
        <v>289</v>
      </c>
      <c r="N1077" t="str">
        <f t="shared" si="33"/>
        <v>December</v>
      </c>
    </row>
    <row r="1078" spans="1:14" x14ac:dyDescent="0.3">
      <c r="A1078" t="s">
        <v>1277</v>
      </c>
      <c r="B1078" s="1">
        <v>5954</v>
      </c>
      <c r="C1078" s="1">
        <f t="shared" si="32"/>
        <v>3314</v>
      </c>
      <c r="D1078">
        <v>2640</v>
      </c>
      <c r="E1078">
        <v>14</v>
      </c>
      <c r="F1078" t="s">
        <v>15</v>
      </c>
      <c r="G1078" t="s">
        <v>41</v>
      </c>
      <c r="H1078" t="s">
        <v>49</v>
      </c>
      <c r="I1078" s="2">
        <v>44432</v>
      </c>
      <c r="J1078" t="s">
        <v>1278</v>
      </c>
      <c r="K1078" t="s">
        <v>27</v>
      </c>
      <c r="L1078" t="s">
        <v>53</v>
      </c>
      <c r="M1078" t="s">
        <v>180</v>
      </c>
      <c r="N1078" t="str">
        <f t="shared" si="33"/>
        <v>August</v>
      </c>
    </row>
    <row r="1079" spans="1:14" x14ac:dyDescent="0.3">
      <c r="A1079" t="s">
        <v>1277</v>
      </c>
      <c r="B1079" s="1">
        <v>5954</v>
      </c>
      <c r="C1079" s="1">
        <f t="shared" si="32"/>
        <v>3314</v>
      </c>
      <c r="D1079">
        <v>2640</v>
      </c>
      <c r="E1079">
        <v>14</v>
      </c>
      <c r="F1079" t="s">
        <v>15</v>
      </c>
      <c r="G1079" t="s">
        <v>41</v>
      </c>
      <c r="H1079" t="s">
        <v>49</v>
      </c>
      <c r="I1079" s="2">
        <v>44856</v>
      </c>
      <c r="J1079" t="s">
        <v>1279</v>
      </c>
      <c r="K1079" t="s">
        <v>73</v>
      </c>
      <c r="L1079" t="s">
        <v>74</v>
      </c>
      <c r="M1079" t="s">
        <v>98</v>
      </c>
      <c r="N1079" t="str">
        <f t="shared" si="33"/>
        <v>October</v>
      </c>
    </row>
    <row r="1080" spans="1:14" x14ac:dyDescent="0.3">
      <c r="A1080" t="s">
        <v>1280</v>
      </c>
      <c r="B1080" s="1">
        <v>9752</v>
      </c>
      <c r="C1080" s="1">
        <f t="shared" si="32"/>
        <v>6134</v>
      </c>
      <c r="D1080">
        <v>3618</v>
      </c>
      <c r="E1080">
        <v>5</v>
      </c>
      <c r="F1080" t="s">
        <v>47</v>
      </c>
      <c r="G1080" t="s">
        <v>111</v>
      </c>
      <c r="H1080" t="s">
        <v>34</v>
      </c>
      <c r="I1080" s="2">
        <v>45343</v>
      </c>
      <c r="J1080" t="s">
        <v>1281</v>
      </c>
      <c r="K1080" t="s">
        <v>27</v>
      </c>
      <c r="L1080" t="s">
        <v>70</v>
      </c>
      <c r="M1080" t="s">
        <v>220</v>
      </c>
      <c r="N1080" t="str">
        <f t="shared" si="33"/>
        <v>February</v>
      </c>
    </row>
    <row r="1081" spans="1:14" x14ac:dyDescent="0.3">
      <c r="A1081" t="s">
        <v>1280</v>
      </c>
      <c r="B1081" s="1">
        <v>9752</v>
      </c>
      <c r="C1081" s="1">
        <f t="shared" si="32"/>
        <v>6134</v>
      </c>
      <c r="D1081">
        <v>3618</v>
      </c>
      <c r="E1081">
        <v>5</v>
      </c>
      <c r="F1081" t="s">
        <v>47</v>
      </c>
      <c r="G1081" t="s">
        <v>111</v>
      </c>
      <c r="H1081" t="s">
        <v>34</v>
      </c>
      <c r="I1081" s="2">
        <v>44865</v>
      </c>
      <c r="J1081" t="s">
        <v>1282</v>
      </c>
      <c r="K1081" t="s">
        <v>23</v>
      </c>
      <c r="L1081" t="s">
        <v>174</v>
      </c>
      <c r="M1081" t="s">
        <v>98</v>
      </c>
      <c r="N1081" t="str">
        <f t="shared" si="33"/>
        <v>October</v>
      </c>
    </row>
    <row r="1082" spans="1:14" x14ac:dyDescent="0.3">
      <c r="A1082" t="s">
        <v>1283</v>
      </c>
      <c r="B1082" s="1">
        <v>5335</v>
      </c>
      <c r="C1082" s="1">
        <f t="shared" si="32"/>
        <v>5013</v>
      </c>
      <c r="D1082">
        <v>322</v>
      </c>
      <c r="E1082">
        <v>15</v>
      </c>
      <c r="F1082" t="s">
        <v>15</v>
      </c>
      <c r="G1082" t="s">
        <v>16</v>
      </c>
      <c r="H1082" t="s">
        <v>67</v>
      </c>
      <c r="I1082" s="2">
        <v>44696</v>
      </c>
      <c r="J1082" t="s">
        <v>1284</v>
      </c>
      <c r="K1082" t="s">
        <v>27</v>
      </c>
      <c r="L1082" t="s">
        <v>53</v>
      </c>
      <c r="M1082" t="s">
        <v>182</v>
      </c>
      <c r="N1082" t="str">
        <f t="shared" si="33"/>
        <v>May</v>
      </c>
    </row>
    <row r="1083" spans="1:14" x14ac:dyDescent="0.3">
      <c r="A1083" t="s">
        <v>1285</v>
      </c>
      <c r="B1083" s="1">
        <v>1454</v>
      </c>
      <c r="C1083" s="1">
        <f t="shared" si="32"/>
        <v>1374</v>
      </c>
      <c r="D1083">
        <v>80</v>
      </c>
      <c r="E1083">
        <v>20</v>
      </c>
      <c r="F1083" t="s">
        <v>15</v>
      </c>
      <c r="G1083" t="s">
        <v>16</v>
      </c>
      <c r="H1083" t="s">
        <v>49</v>
      </c>
      <c r="I1083" s="2">
        <v>44764</v>
      </c>
      <c r="J1083" t="s">
        <v>1286</v>
      </c>
      <c r="K1083" t="s">
        <v>27</v>
      </c>
      <c r="L1083" t="s">
        <v>70</v>
      </c>
      <c r="M1083" t="s">
        <v>420</v>
      </c>
      <c r="N1083" t="str">
        <f t="shared" si="33"/>
        <v>July</v>
      </c>
    </row>
    <row r="1084" spans="1:14" x14ac:dyDescent="0.3">
      <c r="A1084" t="s">
        <v>1287</v>
      </c>
      <c r="B1084" s="1">
        <v>6724</v>
      </c>
      <c r="C1084" s="1">
        <f t="shared" si="32"/>
        <v>5185</v>
      </c>
      <c r="D1084">
        <v>1539</v>
      </c>
      <c r="E1084">
        <v>19</v>
      </c>
      <c r="F1084" t="s">
        <v>47</v>
      </c>
      <c r="G1084" t="s">
        <v>111</v>
      </c>
      <c r="H1084" t="s">
        <v>67</v>
      </c>
      <c r="I1084" s="2">
        <v>44543</v>
      </c>
      <c r="J1084" t="s">
        <v>1288</v>
      </c>
      <c r="K1084" t="s">
        <v>44</v>
      </c>
      <c r="L1084" t="s">
        <v>94</v>
      </c>
      <c r="M1084" t="s">
        <v>92</v>
      </c>
      <c r="N1084" t="str">
        <f t="shared" si="33"/>
        <v>December</v>
      </c>
    </row>
    <row r="1085" spans="1:14" x14ac:dyDescent="0.3">
      <c r="A1085" t="s">
        <v>1287</v>
      </c>
      <c r="B1085" s="1">
        <v>6724</v>
      </c>
      <c r="C1085" s="1">
        <f t="shared" si="32"/>
        <v>5185</v>
      </c>
      <c r="D1085">
        <v>1539</v>
      </c>
      <c r="E1085">
        <v>19</v>
      </c>
      <c r="F1085" t="s">
        <v>47</v>
      </c>
      <c r="G1085" t="s">
        <v>111</v>
      </c>
      <c r="H1085" t="s">
        <v>67</v>
      </c>
      <c r="I1085" s="2">
        <v>44350</v>
      </c>
      <c r="J1085" t="s">
        <v>1289</v>
      </c>
      <c r="K1085" t="s">
        <v>73</v>
      </c>
      <c r="L1085" t="s">
        <v>74</v>
      </c>
      <c r="M1085" t="s">
        <v>127</v>
      </c>
      <c r="N1085" t="str">
        <f t="shared" si="33"/>
        <v>June</v>
      </c>
    </row>
    <row r="1086" spans="1:14" x14ac:dyDescent="0.3">
      <c r="A1086" t="s">
        <v>1290</v>
      </c>
      <c r="B1086" s="1">
        <v>9874</v>
      </c>
      <c r="C1086" s="1">
        <f t="shared" si="32"/>
        <v>5979</v>
      </c>
      <c r="D1086">
        <v>3895</v>
      </c>
      <c r="E1086">
        <v>4</v>
      </c>
      <c r="F1086" t="s">
        <v>32</v>
      </c>
      <c r="G1086" t="s">
        <v>80</v>
      </c>
      <c r="H1086" t="s">
        <v>42</v>
      </c>
      <c r="I1086" s="2">
        <v>45712</v>
      </c>
      <c r="J1086" t="s">
        <v>1291</v>
      </c>
      <c r="K1086" t="s">
        <v>100</v>
      </c>
      <c r="L1086" t="s">
        <v>119</v>
      </c>
      <c r="M1086" t="s">
        <v>75</v>
      </c>
      <c r="N1086" t="str">
        <f t="shared" si="33"/>
        <v>February</v>
      </c>
    </row>
    <row r="1087" spans="1:14" x14ac:dyDescent="0.3">
      <c r="A1087" t="s">
        <v>1292</v>
      </c>
      <c r="B1087" s="1">
        <v>4918</v>
      </c>
      <c r="C1087" s="1">
        <f t="shared" si="32"/>
        <v>3433</v>
      </c>
      <c r="D1087">
        <v>1485</v>
      </c>
      <c r="E1087">
        <v>7</v>
      </c>
      <c r="F1087" t="s">
        <v>15</v>
      </c>
      <c r="G1087" t="s">
        <v>84</v>
      </c>
      <c r="H1087" t="s">
        <v>17</v>
      </c>
      <c r="I1087" s="2">
        <v>44959</v>
      </c>
      <c r="J1087" t="s">
        <v>1293</v>
      </c>
      <c r="K1087" t="s">
        <v>19</v>
      </c>
      <c r="L1087" t="s">
        <v>152</v>
      </c>
      <c r="M1087" t="s">
        <v>95</v>
      </c>
      <c r="N1087" t="str">
        <f t="shared" si="33"/>
        <v>February</v>
      </c>
    </row>
    <row r="1088" spans="1:14" x14ac:dyDescent="0.3">
      <c r="A1088" t="s">
        <v>1294</v>
      </c>
      <c r="B1088" s="1">
        <v>3189</v>
      </c>
      <c r="C1088" s="1">
        <f t="shared" si="32"/>
        <v>2009</v>
      </c>
      <c r="D1088">
        <v>1180</v>
      </c>
      <c r="E1088">
        <v>19</v>
      </c>
      <c r="F1088" t="s">
        <v>32</v>
      </c>
      <c r="G1088" t="s">
        <v>66</v>
      </c>
      <c r="H1088" t="s">
        <v>49</v>
      </c>
      <c r="I1088" s="2">
        <v>44561</v>
      </c>
      <c r="J1088" t="s">
        <v>1295</v>
      </c>
      <c r="K1088" t="s">
        <v>27</v>
      </c>
      <c r="L1088" t="s">
        <v>53</v>
      </c>
      <c r="M1088" t="s">
        <v>92</v>
      </c>
      <c r="N1088" t="str">
        <f t="shared" si="33"/>
        <v>December</v>
      </c>
    </row>
    <row r="1089" spans="1:14" x14ac:dyDescent="0.3">
      <c r="A1089" t="s">
        <v>1296</v>
      </c>
      <c r="B1089" s="1">
        <v>2684</v>
      </c>
      <c r="C1089" s="1">
        <f t="shared" si="32"/>
        <v>1971</v>
      </c>
      <c r="D1089">
        <v>713</v>
      </c>
      <c r="E1089">
        <v>2</v>
      </c>
      <c r="F1089" t="s">
        <v>15</v>
      </c>
      <c r="G1089" t="s">
        <v>16</v>
      </c>
      <c r="H1089" t="s">
        <v>17</v>
      </c>
      <c r="I1089" s="2">
        <v>45458</v>
      </c>
      <c r="J1089" t="s">
        <v>1297</v>
      </c>
      <c r="K1089" t="s">
        <v>27</v>
      </c>
      <c r="L1089" t="s">
        <v>53</v>
      </c>
      <c r="M1089" t="s">
        <v>264</v>
      </c>
      <c r="N1089" t="str">
        <f t="shared" si="33"/>
        <v>June</v>
      </c>
    </row>
    <row r="1090" spans="1:14" x14ac:dyDescent="0.3">
      <c r="A1090" t="s">
        <v>1296</v>
      </c>
      <c r="B1090" s="1">
        <v>2684</v>
      </c>
      <c r="C1090" s="1">
        <f t="shared" ref="C1090:C1153" si="34">B1090-D1090</f>
        <v>1971</v>
      </c>
      <c r="D1090">
        <v>713</v>
      </c>
      <c r="E1090">
        <v>2</v>
      </c>
      <c r="F1090" t="s">
        <v>15</v>
      </c>
      <c r="G1090" t="s">
        <v>16</v>
      </c>
      <c r="H1090" t="s">
        <v>17</v>
      </c>
      <c r="I1090" s="2">
        <v>44717</v>
      </c>
      <c r="J1090" t="s">
        <v>1298</v>
      </c>
      <c r="K1090" t="s">
        <v>27</v>
      </c>
      <c r="L1090" t="s">
        <v>28</v>
      </c>
      <c r="M1090" t="s">
        <v>167</v>
      </c>
      <c r="N1090" t="str">
        <f t="shared" si="33"/>
        <v>June</v>
      </c>
    </row>
    <row r="1091" spans="1:14" x14ac:dyDescent="0.3">
      <c r="A1091" t="s">
        <v>1296</v>
      </c>
      <c r="B1091" s="1">
        <v>2684</v>
      </c>
      <c r="C1091" s="1">
        <f t="shared" si="34"/>
        <v>1971</v>
      </c>
      <c r="D1091">
        <v>713</v>
      </c>
      <c r="E1091">
        <v>2</v>
      </c>
      <c r="F1091" t="s">
        <v>15</v>
      </c>
      <c r="G1091" t="s">
        <v>16</v>
      </c>
      <c r="H1091" t="s">
        <v>17</v>
      </c>
      <c r="I1091" s="2">
        <v>43962</v>
      </c>
      <c r="J1091" t="s">
        <v>1299</v>
      </c>
      <c r="K1091" t="s">
        <v>73</v>
      </c>
      <c r="L1091" t="s">
        <v>74</v>
      </c>
      <c r="M1091" t="s">
        <v>61</v>
      </c>
      <c r="N1091" t="str">
        <f t="shared" ref="N1091:N1154" si="35">TEXT(DATE(LEFT(M1091,4),RIGHT(M1091,2),1),"mmmm")</f>
        <v>May</v>
      </c>
    </row>
    <row r="1092" spans="1:14" x14ac:dyDescent="0.3">
      <c r="A1092" t="s">
        <v>1300</v>
      </c>
      <c r="B1092" s="1">
        <v>7626</v>
      </c>
      <c r="C1092" s="1">
        <f t="shared" si="34"/>
        <v>7397</v>
      </c>
      <c r="D1092">
        <v>229</v>
      </c>
      <c r="E1092">
        <v>5</v>
      </c>
      <c r="F1092" t="s">
        <v>32</v>
      </c>
      <c r="G1092" t="s">
        <v>33</v>
      </c>
      <c r="H1092" t="s">
        <v>42</v>
      </c>
      <c r="I1092" s="2">
        <v>45333</v>
      </c>
      <c r="J1092" t="s">
        <v>1301</v>
      </c>
      <c r="K1092" t="s">
        <v>23</v>
      </c>
      <c r="L1092" t="s">
        <v>65</v>
      </c>
      <c r="M1092" t="s">
        <v>220</v>
      </c>
      <c r="N1092" t="str">
        <f t="shared" si="35"/>
        <v>February</v>
      </c>
    </row>
    <row r="1093" spans="1:14" x14ac:dyDescent="0.3">
      <c r="A1093" t="s">
        <v>1300</v>
      </c>
      <c r="B1093" s="1">
        <v>7626</v>
      </c>
      <c r="C1093" s="1">
        <f t="shared" si="34"/>
        <v>7397</v>
      </c>
      <c r="D1093">
        <v>229</v>
      </c>
      <c r="E1093">
        <v>5</v>
      </c>
      <c r="F1093" t="s">
        <v>32</v>
      </c>
      <c r="G1093" t="s">
        <v>33</v>
      </c>
      <c r="H1093" t="s">
        <v>42</v>
      </c>
      <c r="I1093" s="2">
        <v>44160</v>
      </c>
      <c r="J1093" t="s">
        <v>1302</v>
      </c>
      <c r="K1093" t="s">
        <v>100</v>
      </c>
      <c r="L1093" t="s">
        <v>101</v>
      </c>
      <c r="M1093" t="s">
        <v>82</v>
      </c>
      <c r="N1093" t="str">
        <f t="shared" si="35"/>
        <v>November</v>
      </c>
    </row>
    <row r="1094" spans="1:14" x14ac:dyDescent="0.3">
      <c r="A1094" t="s">
        <v>1303</v>
      </c>
      <c r="B1094" s="1">
        <v>6669</v>
      </c>
      <c r="C1094" s="1">
        <f t="shared" si="34"/>
        <v>3606</v>
      </c>
      <c r="D1094">
        <v>3063</v>
      </c>
      <c r="E1094">
        <v>19</v>
      </c>
      <c r="F1094" t="s">
        <v>15</v>
      </c>
      <c r="G1094" t="s">
        <v>30</v>
      </c>
      <c r="H1094" t="s">
        <v>17</v>
      </c>
      <c r="I1094" s="2">
        <v>45150</v>
      </c>
      <c r="J1094" t="s">
        <v>1304</v>
      </c>
      <c r="K1094" t="s">
        <v>100</v>
      </c>
      <c r="L1094" t="s">
        <v>109</v>
      </c>
      <c r="M1094" t="s">
        <v>123</v>
      </c>
      <c r="N1094" t="str">
        <f t="shared" si="35"/>
        <v>August</v>
      </c>
    </row>
    <row r="1095" spans="1:14" x14ac:dyDescent="0.3">
      <c r="A1095" t="s">
        <v>1305</v>
      </c>
      <c r="B1095" s="1">
        <v>6123</v>
      </c>
      <c r="C1095" s="1">
        <f t="shared" si="34"/>
        <v>4437</v>
      </c>
      <c r="D1095">
        <v>1686</v>
      </c>
      <c r="E1095">
        <v>3</v>
      </c>
      <c r="F1095" t="s">
        <v>32</v>
      </c>
      <c r="G1095" t="s">
        <v>59</v>
      </c>
      <c r="H1095" t="s">
        <v>49</v>
      </c>
      <c r="I1095" s="2">
        <v>44687</v>
      </c>
      <c r="J1095" t="s">
        <v>1306</v>
      </c>
      <c r="K1095" t="s">
        <v>100</v>
      </c>
      <c r="L1095" t="s">
        <v>109</v>
      </c>
      <c r="M1095" t="s">
        <v>182</v>
      </c>
      <c r="N1095" t="str">
        <f t="shared" si="35"/>
        <v>May</v>
      </c>
    </row>
    <row r="1096" spans="1:14" x14ac:dyDescent="0.3">
      <c r="A1096" t="s">
        <v>1307</v>
      </c>
      <c r="B1096" s="1">
        <v>3265</v>
      </c>
      <c r="C1096" s="1">
        <f t="shared" si="34"/>
        <v>1875</v>
      </c>
      <c r="D1096">
        <v>1390</v>
      </c>
      <c r="E1096">
        <v>16</v>
      </c>
      <c r="F1096" t="s">
        <v>32</v>
      </c>
      <c r="G1096" t="s">
        <v>66</v>
      </c>
      <c r="H1096" t="s">
        <v>49</v>
      </c>
      <c r="I1096" s="2">
        <v>45308</v>
      </c>
      <c r="J1096" t="s">
        <v>1308</v>
      </c>
      <c r="K1096" t="s">
        <v>44</v>
      </c>
      <c r="L1096" t="s">
        <v>45</v>
      </c>
      <c r="M1096" t="s">
        <v>78</v>
      </c>
      <c r="N1096" t="str">
        <f t="shared" si="35"/>
        <v>January</v>
      </c>
    </row>
    <row r="1097" spans="1:14" x14ac:dyDescent="0.3">
      <c r="A1097" t="s">
        <v>1309</v>
      </c>
      <c r="B1097" s="1">
        <v>8104</v>
      </c>
      <c r="C1097" s="1">
        <f t="shared" si="34"/>
        <v>7065</v>
      </c>
      <c r="D1097">
        <v>1039</v>
      </c>
      <c r="E1097">
        <v>6</v>
      </c>
      <c r="F1097" t="s">
        <v>32</v>
      </c>
      <c r="G1097" t="s">
        <v>59</v>
      </c>
      <c r="H1097" t="s">
        <v>67</v>
      </c>
      <c r="I1097" s="2">
        <v>44524</v>
      </c>
      <c r="J1097" t="s">
        <v>1310</v>
      </c>
      <c r="K1097" t="s">
        <v>19</v>
      </c>
      <c r="L1097" t="s">
        <v>36</v>
      </c>
      <c r="M1097" t="s">
        <v>177</v>
      </c>
      <c r="N1097" t="str">
        <f t="shared" si="35"/>
        <v>November</v>
      </c>
    </row>
    <row r="1098" spans="1:14" x14ac:dyDescent="0.3">
      <c r="A1098" t="s">
        <v>1309</v>
      </c>
      <c r="B1098" s="1">
        <v>8104</v>
      </c>
      <c r="C1098" s="1">
        <f t="shared" si="34"/>
        <v>7065</v>
      </c>
      <c r="D1098">
        <v>1039</v>
      </c>
      <c r="E1098">
        <v>6</v>
      </c>
      <c r="F1098" t="s">
        <v>32</v>
      </c>
      <c r="G1098" t="s">
        <v>59</v>
      </c>
      <c r="H1098" t="s">
        <v>67</v>
      </c>
      <c r="I1098" s="2">
        <v>44475</v>
      </c>
      <c r="J1098" t="s">
        <v>1311</v>
      </c>
      <c r="K1098" t="s">
        <v>19</v>
      </c>
      <c r="L1098" t="s">
        <v>20</v>
      </c>
      <c r="M1098" t="s">
        <v>39</v>
      </c>
      <c r="N1098" t="str">
        <f t="shared" si="35"/>
        <v>October</v>
      </c>
    </row>
    <row r="1099" spans="1:14" x14ac:dyDescent="0.3">
      <c r="A1099" t="s">
        <v>1309</v>
      </c>
      <c r="B1099" s="1">
        <v>8104</v>
      </c>
      <c r="C1099" s="1">
        <f t="shared" si="34"/>
        <v>7065</v>
      </c>
      <c r="D1099">
        <v>1039</v>
      </c>
      <c r="E1099">
        <v>6</v>
      </c>
      <c r="F1099" t="s">
        <v>32</v>
      </c>
      <c r="G1099" t="s">
        <v>59</v>
      </c>
      <c r="H1099" t="s">
        <v>67</v>
      </c>
      <c r="I1099" s="2">
        <v>45684</v>
      </c>
      <c r="J1099" t="s">
        <v>1312</v>
      </c>
      <c r="K1099" t="s">
        <v>44</v>
      </c>
      <c r="L1099" t="s">
        <v>94</v>
      </c>
      <c r="M1099" t="s">
        <v>310</v>
      </c>
      <c r="N1099" t="str">
        <f t="shared" si="35"/>
        <v>January</v>
      </c>
    </row>
    <row r="1100" spans="1:14" x14ac:dyDescent="0.3">
      <c r="A1100" t="s">
        <v>1313</v>
      </c>
      <c r="B1100" s="1">
        <v>847</v>
      </c>
      <c r="C1100" s="1">
        <f t="shared" si="34"/>
        <v>492</v>
      </c>
      <c r="D1100">
        <v>355</v>
      </c>
      <c r="E1100">
        <v>17</v>
      </c>
      <c r="F1100" t="s">
        <v>47</v>
      </c>
      <c r="G1100" t="s">
        <v>48</v>
      </c>
      <c r="H1100" t="s">
        <v>67</v>
      </c>
      <c r="I1100" s="2">
        <v>44704</v>
      </c>
      <c r="J1100" t="s">
        <v>1314</v>
      </c>
      <c r="K1100" t="s">
        <v>27</v>
      </c>
      <c r="L1100" t="s">
        <v>28</v>
      </c>
      <c r="M1100" t="s">
        <v>182</v>
      </c>
      <c r="N1100" t="str">
        <f t="shared" si="35"/>
        <v>May</v>
      </c>
    </row>
    <row r="1101" spans="1:14" x14ac:dyDescent="0.3">
      <c r="A1101" t="s">
        <v>1313</v>
      </c>
      <c r="B1101" s="1">
        <v>847</v>
      </c>
      <c r="C1101" s="1">
        <f t="shared" si="34"/>
        <v>492</v>
      </c>
      <c r="D1101">
        <v>355</v>
      </c>
      <c r="E1101">
        <v>17</v>
      </c>
      <c r="F1101" t="s">
        <v>47</v>
      </c>
      <c r="G1101" t="s">
        <v>48</v>
      </c>
      <c r="H1101" t="s">
        <v>67</v>
      </c>
      <c r="I1101" s="2">
        <v>45258</v>
      </c>
      <c r="J1101" t="s">
        <v>1315</v>
      </c>
      <c r="K1101" t="s">
        <v>73</v>
      </c>
      <c r="L1101" t="s">
        <v>88</v>
      </c>
      <c r="M1101" t="s">
        <v>54</v>
      </c>
      <c r="N1101" t="str">
        <f t="shared" si="35"/>
        <v>November</v>
      </c>
    </row>
    <row r="1102" spans="1:14" x14ac:dyDescent="0.3">
      <c r="A1102" t="s">
        <v>1313</v>
      </c>
      <c r="B1102" s="1">
        <v>847</v>
      </c>
      <c r="C1102" s="1">
        <f t="shared" si="34"/>
        <v>492</v>
      </c>
      <c r="D1102">
        <v>355</v>
      </c>
      <c r="E1102">
        <v>17</v>
      </c>
      <c r="F1102" t="s">
        <v>47</v>
      </c>
      <c r="G1102" t="s">
        <v>48</v>
      </c>
      <c r="H1102" t="s">
        <v>67</v>
      </c>
      <c r="I1102" s="2">
        <v>44944</v>
      </c>
      <c r="J1102" t="s">
        <v>1316</v>
      </c>
      <c r="K1102" t="s">
        <v>44</v>
      </c>
      <c r="L1102" t="s">
        <v>94</v>
      </c>
      <c r="M1102" t="s">
        <v>335</v>
      </c>
      <c r="N1102" t="str">
        <f t="shared" si="35"/>
        <v>January</v>
      </c>
    </row>
    <row r="1103" spans="1:14" x14ac:dyDescent="0.3">
      <c r="A1103" t="s">
        <v>1317</v>
      </c>
      <c r="B1103" s="1">
        <v>3129</v>
      </c>
      <c r="C1103" s="1">
        <f t="shared" si="34"/>
        <v>3074</v>
      </c>
      <c r="D1103">
        <v>55</v>
      </c>
      <c r="E1103">
        <v>9</v>
      </c>
      <c r="F1103" t="s">
        <v>47</v>
      </c>
      <c r="G1103" t="s">
        <v>111</v>
      </c>
      <c r="H1103" t="s">
        <v>34</v>
      </c>
      <c r="I1103" s="2">
        <v>44445</v>
      </c>
      <c r="J1103" t="s">
        <v>1318</v>
      </c>
      <c r="K1103" t="s">
        <v>23</v>
      </c>
      <c r="L1103" t="s">
        <v>174</v>
      </c>
      <c r="M1103" t="s">
        <v>226</v>
      </c>
      <c r="N1103" t="str">
        <f t="shared" si="35"/>
        <v>September</v>
      </c>
    </row>
    <row r="1104" spans="1:14" x14ac:dyDescent="0.3">
      <c r="A1104" t="s">
        <v>1317</v>
      </c>
      <c r="B1104" s="1">
        <v>7821</v>
      </c>
      <c r="C1104" s="1">
        <f t="shared" si="34"/>
        <v>4000</v>
      </c>
      <c r="D1104">
        <v>3821</v>
      </c>
      <c r="E1104">
        <v>13</v>
      </c>
      <c r="F1104" t="s">
        <v>15</v>
      </c>
      <c r="G1104" t="s">
        <v>41</v>
      </c>
      <c r="H1104" t="s">
        <v>42</v>
      </c>
      <c r="I1104" s="2">
        <v>44445</v>
      </c>
      <c r="J1104" t="s">
        <v>1318</v>
      </c>
      <c r="K1104" t="s">
        <v>23</v>
      </c>
      <c r="L1104" t="s">
        <v>174</v>
      </c>
      <c r="M1104" t="s">
        <v>226</v>
      </c>
      <c r="N1104" t="str">
        <f t="shared" si="35"/>
        <v>September</v>
      </c>
    </row>
    <row r="1105" spans="1:14" x14ac:dyDescent="0.3">
      <c r="A1105" t="s">
        <v>1319</v>
      </c>
      <c r="B1105" s="1">
        <v>9498</v>
      </c>
      <c r="C1105" s="1">
        <f t="shared" si="34"/>
        <v>9242</v>
      </c>
      <c r="D1105">
        <v>256</v>
      </c>
      <c r="E1105">
        <v>12</v>
      </c>
      <c r="F1105" t="s">
        <v>15</v>
      </c>
      <c r="G1105" t="s">
        <v>84</v>
      </c>
      <c r="H1105" t="s">
        <v>67</v>
      </c>
      <c r="I1105" s="2">
        <v>44249</v>
      </c>
      <c r="J1105" t="s">
        <v>1320</v>
      </c>
      <c r="K1105" t="s">
        <v>23</v>
      </c>
      <c r="L1105" t="s">
        <v>174</v>
      </c>
      <c r="M1105" t="s">
        <v>294</v>
      </c>
      <c r="N1105" t="str">
        <f t="shared" si="35"/>
        <v>February</v>
      </c>
    </row>
    <row r="1106" spans="1:14" x14ac:dyDescent="0.3">
      <c r="A1106" t="s">
        <v>1319</v>
      </c>
      <c r="B1106" s="1">
        <v>9498</v>
      </c>
      <c r="C1106" s="1">
        <f t="shared" si="34"/>
        <v>9242</v>
      </c>
      <c r="D1106">
        <v>256</v>
      </c>
      <c r="E1106">
        <v>12</v>
      </c>
      <c r="F1106" t="s">
        <v>15</v>
      </c>
      <c r="G1106" t="s">
        <v>84</v>
      </c>
      <c r="H1106" t="s">
        <v>67</v>
      </c>
      <c r="I1106" s="2">
        <v>44475</v>
      </c>
      <c r="J1106" t="s">
        <v>1321</v>
      </c>
      <c r="K1106" t="s">
        <v>27</v>
      </c>
      <c r="L1106" t="s">
        <v>53</v>
      </c>
      <c r="M1106" t="s">
        <v>39</v>
      </c>
      <c r="N1106" t="str">
        <f t="shared" si="35"/>
        <v>October</v>
      </c>
    </row>
    <row r="1107" spans="1:14" x14ac:dyDescent="0.3">
      <c r="A1107" t="s">
        <v>1322</v>
      </c>
      <c r="B1107" s="1">
        <v>5461</v>
      </c>
      <c r="C1107" s="1">
        <f t="shared" si="34"/>
        <v>4247</v>
      </c>
      <c r="D1107">
        <v>1214</v>
      </c>
      <c r="E1107">
        <v>7</v>
      </c>
      <c r="F1107" t="s">
        <v>47</v>
      </c>
      <c r="G1107" t="s">
        <v>62</v>
      </c>
      <c r="H1107" t="s">
        <v>49</v>
      </c>
      <c r="I1107" s="2">
        <v>43989</v>
      </c>
      <c r="J1107" t="s">
        <v>1323</v>
      </c>
      <c r="K1107" t="s">
        <v>27</v>
      </c>
      <c r="L1107" t="s">
        <v>70</v>
      </c>
      <c r="M1107" t="s">
        <v>315</v>
      </c>
      <c r="N1107" t="str">
        <f t="shared" si="35"/>
        <v>June</v>
      </c>
    </row>
    <row r="1108" spans="1:14" x14ac:dyDescent="0.3">
      <c r="A1108" t="s">
        <v>1324</v>
      </c>
      <c r="B1108" s="1">
        <v>3084</v>
      </c>
      <c r="C1108" s="1">
        <f t="shared" si="34"/>
        <v>2473</v>
      </c>
      <c r="D1108">
        <v>611</v>
      </c>
      <c r="E1108">
        <v>19</v>
      </c>
      <c r="F1108" t="s">
        <v>47</v>
      </c>
      <c r="G1108" t="s">
        <v>111</v>
      </c>
      <c r="H1108" t="s">
        <v>17</v>
      </c>
      <c r="I1108" s="2">
        <v>45433</v>
      </c>
      <c r="J1108" t="s">
        <v>1325</v>
      </c>
      <c r="K1108" t="s">
        <v>73</v>
      </c>
      <c r="L1108" t="s">
        <v>74</v>
      </c>
      <c r="M1108" t="s">
        <v>37</v>
      </c>
      <c r="N1108" t="str">
        <f t="shared" si="35"/>
        <v>May</v>
      </c>
    </row>
    <row r="1109" spans="1:14" x14ac:dyDescent="0.3">
      <c r="A1109" t="s">
        <v>1326</v>
      </c>
      <c r="B1109" s="1">
        <v>6087</v>
      </c>
      <c r="C1109" s="1">
        <f t="shared" si="34"/>
        <v>3044</v>
      </c>
      <c r="D1109">
        <v>3043</v>
      </c>
      <c r="E1109">
        <v>1</v>
      </c>
      <c r="F1109" t="s">
        <v>47</v>
      </c>
      <c r="G1109" t="s">
        <v>62</v>
      </c>
      <c r="H1109" t="s">
        <v>67</v>
      </c>
      <c r="I1109" s="2">
        <v>44048</v>
      </c>
      <c r="J1109" t="s">
        <v>1327</v>
      </c>
      <c r="K1109" t="s">
        <v>27</v>
      </c>
      <c r="L1109" t="s">
        <v>28</v>
      </c>
      <c r="M1109" t="s">
        <v>187</v>
      </c>
      <c r="N1109" t="str">
        <f t="shared" si="35"/>
        <v>August</v>
      </c>
    </row>
    <row r="1110" spans="1:14" x14ac:dyDescent="0.3">
      <c r="A1110" t="s">
        <v>1328</v>
      </c>
      <c r="B1110" s="1">
        <v>611</v>
      </c>
      <c r="C1110" s="1">
        <f t="shared" si="34"/>
        <v>311</v>
      </c>
      <c r="D1110">
        <v>300</v>
      </c>
      <c r="E1110">
        <v>3</v>
      </c>
      <c r="F1110" t="s">
        <v>47</v>
      </c>
      <c r="G1110" t="s">
        <v>111</v>
      </c>
      <c r="H1110" t="s">
        <v>49</v>
      </c>
      <c r="I1110" s="2">
        <v>44119</v>
      </c>
      <c r="J1110" t="s">
        <v>1329</v>
      </c>
      <c r="K1110" t="s">
        <v>23</v>
      </c>
      <c r="L1110" t="s">
        <v>174</v>
      </c>
      <c r="M1110" t="s">
        <v>121</v>
      </c>
      <c r="N1110" t="str">
        <f t="shared" si="35"/>
        <v>October</v>
      </c>
    </row>
    <row r="1111" spans="1:14" x14ac:dyDescent="0.3">
      <c r="A1111" t="s">
        <v>1330</v>
      </c>
      <c r="B1111" s="1">
        <v>9909</v>
      </c>
      <c r="C1111" s="1">
        <f t="shared" si="34"/>
        <v>6910</v>
      </c>
      <c r="D1111">
        <v>2999</v>
      </c>
      <c r="E1111">
        <v>18</v>
      </c>
      <c r="F1111" t="s">
        <v>32</v>
      </c>
      <c r="G1111" t="s">
        <v>59</v>
      </c>
      <c r="H1111" t="s">
        <v>67</v>
      </c>
      <c r="I1111" s="2">
        <v>44331</v>
      </c>
      <c r="J1111" t="s">
        <v>1331</v>
      </c>
      <c r="K1111" t="s">
        <v>100</v>
      </c>
      <c r="L1111" t="s">
        <v>119</v>
      </c>
      <c r="M1111" t="s">
        <v>110</v>
      </c>
      <c r="N1111" t="str">
        <f t="shared" si="35"/>
        <v>May</v>
      </c>
    </row>
    <row r="1112" spans="1:14" x14ac:dyDescent="0.3">
      <c r="A1112" t="s">
        <v>1330</v>
      </c>
      <c r="B1112" s="1">
        <v>9909</v>
      </c>
      <c r="C1112" s="1">
        <f t="shared" si="34"/>
        <v>6910</v>
      </c>
      <c r="D1112">
        <v>2999</v>
      </c>
      <c r="E1112">
        <v>18</v>
      </c>
      <c r="F1112" t="s">
        <v>32</v>
      </c>
      <c r="G1112" t="s">
        <v>59</v>
      </c>
      <c r="H1112" t="s">
        <v>67</v>
      </c>
      <c r="I1112" s="2">
        <v>44574</v>
      </c>
      <c r="J1112" t="s">
        <v>1332</v>
      </c>
      <c r="K1112" t="s">
        <v>73</v>
      </c>
      <c r="L1112" t="s">
        <v>88</v>
      </c>
      <c r="M1112" t="s">
        <v>89</v>
      </c>
      <c r="N1112" t="str">
        <f t="shared" si="35"/>
        <v>January</v>
      </c>
    </row>
    <row r="1113" spans="1:14" x14ac:dyDescent="0.3">
      <c r="A1113" t="s">
        <v>1333</v>
      </c>
      <c r="B1113" s="1">
        <v>6485</v>
      </c>
      <c r="C1113" s="1">
        <f t="shared" si="34"/>
        <v>3307</v>
      </c>
      <c r="D1113">
        <v>3178</v>
      </c>
      <c r="E1113">
        <v>18</v>
      </c>
      <c r="F1113" t="s">
        <v>47</v>
      </c>
      <c r="G1113" t="s">
        <v>62</v>
      </c>
      <c r="H1113" t="s">
        <v>17</v>
      </c>
      <c r="I1113" s="2">
        <v>45125</v>
      </c>
      <c r="J1113" t="s">
        <v>1334</v>
      </c>
      <c r="K1113" t="s">
        <v>100</v>
      </c>
      <c r="L1113" t="s">
        <v>101</v>
      </c>
      <c r="M1113" t="s">
        <v>107</v>
      </c>
      <c r="N1113" t="str">
        <f t="shared" si="35"/>
        <v>July</v>
      </c>
    </row>
    <row r="1114" spans="1:14" x14ac:dyDescent="0.3">
      <c r="A1114" t="s">
        <v>1335</v>
      </c>
      <c r="B1114" s="1">
        <v>7259</v>
      </c>
      <c r="C1114" s="1">
        <f t="shared" si="34"/>
        <v>5290</v>
      </c>
      <c r="D1114">
        <v>1969</v>
      </c>
      <c r="E1114">
        <v>10</v>
      </c>
      <c r="F1114" t="s">
        <v>15</v>
      </c>
      <c r="G1114" t="s">
        <v>41</v>
      </c>
      <c r="H1114" t="s">
        <v>49</v>
      </c>
      <c r="I1114" s="2">
        <v>44903</v>
      </c>
      <c r="J1114" t="s">
        <v>1336</v>
      </c>
      <c r="K1114" t="s">
        <v>23</v>
      </c>
      <c r="L1114" t="s">
        <v>65</v>
      </c>
      <c r="M1114" t="s">
        <v>154</v>
      </c>
      <c r="N1114" t="str">
        <f t="shared" si="35"/>
        <v>December</v>
      </c>
    </row>
    <row r="1115" spans="1:14" x14ac:dyDescent="0.3">
      <c r="A1115" t="s">
        <v>1337</v>
      </c>
      <c r="B1115" s="1">
        <v>3333</v>
      </c>
      <c r="C1115" s="1">
        <f t="shared" si="34"/>
        <v>2633</v>
      </c>
      <c r="D1115">
        <v>700</v>
      </c>
      <c r="E1115">
        <v>18</v>
      </c>
      <c r="F1115" t="s">
        <v>15</v>
      </c>
      <c r="G1115" t="s">
        <v>30</v>
      </c>
      <c r="H1115" t="s">
        <v>67</v>
      </c>
      <c r="I1115" s="2">
        <v>45033</v>
      </c>
      <c r="J1115" t="s">
        <v>1338</v>
      </c>
      <c r="K1115" t="s">
        <v>19</v>
      </c>
      <c r="L1115" t="s">
        <v>20</v>
      </c>
      <c r="M1115" t="s">
        <v>147</v>
      </c>
      <c r="N1115" t="str">
        <f t="shared" si="35"/>
        <v>April</v>
      </c>
    </row>
    <row r="1116" spans="1:14" x14ac:dyDescent="0.3">
      <c r="A1116" t="s">
        <v>1339</v>
      </c>
      <c r="B1116" s="1">
        <v>7786</v>
      </c>
      <c r="C1116" s="1">
        <f t="shared" si="34"/>
        <v>6584</v>
      </c>
      <c r="D1116">
        <v>1202</v>
      </c>
      <c r="E1116">
        <v>4</v>
      </c>
      <c r="F1116" t="s">
        <v>47</v>
      </c>
      <c r="G1116" t="s">
        <v>62</v>
      </c>
      <c r="H1116" t="s">
        <v>42</v>
      </c>
      <c r="I1116" s="2">
        <v>44005</v>
      </c>
      <c r="J1116" t="s">
        <v>1340</v>
      </c>
      <c r="K1116" t="s">
        <v>23</v>
      </c>
      <c r="L1116" t="s">
        <v>174</v>
      </c>
      <c r="M1116" t="s">
        <v>315</v>
      </c>
      <c r="N1116" t="str">
        <f t="shared" si="35"/>
        <v>June</v>
      </c>
    </row>
    <row r="1117" spans="1:14" x14ac:dyDescent="0.3">
      <c r="A1117" t="s">
        <v>1341</v>
      </c>
      <c r="B1117" s="1">
        <v>7644</v>
      </c>
      <c r="C1117" s="1">
        <f t="shared" si="34"/>
        <v>5216</v>
      </c>
      <c r="D1117">
        <v>2428</v>
      </c>
      <c r="E1117">
        <v>6</v>
      </c>
      <c r="F1117" t="s">
        <v>15</v>
      </c>
      <c r="G1117" t="s">
        <v>84</v>
      </c>
      <c r="H1117" t="s">
        <v>34</v>
      </c>
      <c r="I1117" s="2">
        <v>44581</v>
      </c>
      <c r="J1117" t="s">
        <v>1342</v>
      </c>
      <c r="K1117" t="s">
        <v>23</v>
      </c>
      <c r="L1117" t="s">
        <v>65</v>
      </c>
      <c r="M1117" t="s">
        <v>89</v>
      </c>
      <c r="N1117" t="str">
        <f t="shared" si="35"/>
        <v>January</v>
      </c>
    </row>
    <row r="1118" spans="1:14" x14ac:dyDescent="0.3">
      <c r="A1118" t="s">
        <v>1343</v>
      </c>
      <c r="B1118" s="1">
        <v>1476</v>
      </c>
      <c r="C1118" s="1">
        <f t="shared" si="34"/>
        <v>1229</v>
      </c>
      <c r="D1118">
        <v>247</v>
      </c>
      <c r="E1118">
        <v>5</v>
      </c>
      <c r="F1118" t="s">
        <v>47</v>
      </c>
      <c r="G1118" t="s">
        <v>111</v>
      </c>
      <c r="H1118" t="s">
        <v>67</v>
      </c>
      <c r="I1118" s="2">
        <v>45248</v>
      </c>
      <c r="J1118" t="s">
        <v>1344</v>
      </c>
      <c r="K1118" t="s">
        <v>44</v>
      </c>
      <c r="L1118" t="s">
        <v>45</v>
      </c>
      <c r="M1118" t="s">
        <v>54</v>
      </c>
      <c r="N1118" t="str">
        <f t="shared" si="35"/>
        <v>November</v>
      </c>
    </row>
    <row r="1119" spans="1:14" x14ac:dyDescent="0.3">
      <c r="A1119" t="s">
        <v>1343</v>
      </c>
      <c r="B1119" s="1">
        <v>1476</v>
      </c>
      <c r="C1119" s="1">
        <f t="shared" si="34"/>
        <v>1229</v>
      </c>
      <c r="D1119">
        <v>247</v>
      </c>
      <c r="E1119">
        <v>5</v>
      </c>
      <c r="F1119" t="s">
        <v>47</v>
      </c>
      <c r="G1119" t="s">
        <v>111</v>
      </c>
      <c r="H1119" t="s">
        <v>67</v>
      </c>
      <c r="I1119" s="2">
        <v>44580</v>
      </c>
      <c r="J1119" t="s">
        <v>1345</v>
      </c>
      <c r="K1119" t="s">
        <v>44</v>
      </c>
      <c r="L1119" t="s">
        <v>77</v>
      </c>
      <c r="M1119" t="s">
        <v>89</v>
      </c>
      <c r="N1119" t="str">
        <f t="shared" si="35"/>
        <v>January</v>
      </c>
    </row>
    <row r="1120" spans="1:14" x14ac:dyDescent="0.3">
      <c r="A1120" t="s">
        <v>1346</v>
      </c>
      <c r="B1120" s="1">
        <v>3445</v>
      </c>
      <c r="C1120" s="1">
        <f t="shared" si="34"/>
        <v>2040</v>
      </c>
      <c r="D1120">
        <v>1405</v>
      </c>
      <c r="E1120">
        <v>16</v>
      </c>
      <c r="F1120" t="s">
        <v>47</v>
      </c>
      <c r="G1120" t="s">
        <v>62</v>
      </c>
      <c r="H1120" t="s">
        <v>42</v>
      </c>
      <c r="I1120" s="2">
        <v>44095</v>
      </c>
      <c r="J1120" t="s">
        <v>1347</v>
      </c>
      <c r="K1120" t="s">
        <v>44</v>
      </c>
      <c r="L1120" t="s">
        <v>94</v>
      </c>
      <c r="M1120" t="s">
        <v>391</v>
      </c>
      <c r="N1120" t="str">
        <f t="shared" si="35"/>
        <v>September</v>
      </c>
    </row>
    <row r="1121" spans="1:14" x14ac:dyDescent="0.3">
      <c r="A1121" t="s">
        <v>1346</v>
      </c>
      <c r="B1121" s="1">
        <v>9837</v>
      </c>
      <c r="C1121" s="1">
        <f t="shared" si="34"/>
        <v>9453</v>
      </c>
      <c r="D1121">
        <v>384</v>
      </c>
      <c r="E1121">
        <v>1</v>
      </c>
      <c r="F1121" t="s">
        <v>15</v>
      </c>
      <c r="G1121" t="s">
        <v>41</v>
      </c>
      <c r="H1121" t="s">
        <v>17</v>
      </c>
      <c r="I1121" s="2">
        <v>44095</v>
      </c>
      <c r="J1121" t="s">
        <v>1347</v>
      </c>
      <c r="K1121" t="s">
        <v>44</v>
      </c>
      <c r="L1121" t="s">
        <v>94</v>
      </c>
      <c r="M1121" t="s">
        <v>391</v>
      </c>
      <c r="N1121" t="str">
        <f t="shared" si="35"/>
        <v>September</v>
      </c>
    </row>
    <row r="1122" spans="1:14" x14ac:dyDescent="0.3">
      <c r="A1122" t="s">
        <v>1348</v>
      </c>
      <c r="B1122" s="1">
        <v>1314</v>
      </c>
      <c r="C1122" s="1">
        <f t="shared" si="34"/>
        <v>857</v>
      </c>
      <c r="D1122">
        <v>457</v>
      </c>
      <c r="E1122">
        <v>8</v>
      </c>
      <c r="F1122" t="s">
        <v>47</v>
      </c>
      <c r="G1122" t="s">
        <v>62</v>
      </c>
      <c r="H1122" t="s">
        <v>42</v>
      </c>
      <c r="I1122" s="2">
        <v>44358</v>
      </c>
      <c r="J1122" t="s">
        <v>1349</v>
      </c>
      <c r="K1122" t="s">
        <v>44</v>
      </c>
      <c r="L1122" t="s">
        <v>77</v>
      </c>
      <c r="M1122" t="s">
        <v>127</v>
      </c>
      <c r="N1122" t="str">
        <f t="shared" si="35"/>
        <v>June</v>
      </c>
    </row>
    <row r="1123" spans="1:14" x14ac:dyDescent="0.3">
      <c r="A1123" t="s">
        <v>1350</v>
      </c>
      <c r="B1123" s="1">
        <v>5951</v>
      </c>
      <c r="C1123" s="1">
        <f t="shared" si="34"/>
        <v>5015</v>
      </c>
      <c r="D1123">
        <v>936</v>
      </c>
      <c r="E1123">
        <v>6</v>
      </c>
      <c r="F1123" t="s">
        <v>15</v>
      </c>
      <c r="G1123" t="s">
        <v>41</v>
      </c>
      <c r="H1123" t="s">
        <v>34</v>
      </c>
      <c r="I1123" s="2">
        <v>45511</v>
      </c>
      <c r="J1123" t="s">
        <v>1351</v>
      </c>
      <c r="K1123" t="s">
        <v>73</v>
      </c>
      <c r="L1123" t="s">
        <v>74</v>
      </c>
      <c r="M1123" t="s">
        <v>116</v>
      </c>
      <c r="N1123" t="str">
        <f t="shared" si="35"/>
        <v>August</v>
      </c>
    </row>
    <row r="1124" spans="1:14" x14ac:dyDescent="0.3">
      <c r="A1124" t="s">
        <v>1350</v>
      </c>
      <c r="B1124" s="1">
        <v>5951</v>
      </c>
      <c r="C1124" s="1">
        <f t="shared" si="34"/>
        <v>5015</v>
      </c>
      <c r="D1124">
        <v>936</v>
      </c>
      <c r="E1124">
        <v>6</v>
      </c>
      <c r="F1124" t="s">
        <v>15</v>
      </c>
      <c r="G1124" t="s">
        <v>41</v>
      </c>
      <c r="H1124" t="s">
        <v>34</v>
      </c>
      <c r="I1124" s="2">
        <v>44768</v>
      </c>
      <c r="J1124" t="s">
        <v>1352</v>
      </c>
      <c r="K1124" t="s">
        <v>100</v>
      </c>
      <c r="L1124" t="s">
        <v>101</v>
      </c>
      <c r="M1124" t="s">
        <v>420</v>
      </c>
      <c r="N1124" t="str">
        <f t="shared" si="35"/>
        <v>July</v>
      </c>
    </row>
    <row r="1125" spans="1:14" x14ac:dyDescent="0.3">
      <c r="A1125" t="s">
        <v>1353</v>
      </c>
      <c r="B1125" s="1">
        <v>992</v>
      </c>
      <c r="C1125" s="1">
        <f t="shared" si="34"/>
        <v>815</v>
      </c>
      <c r="D1125">
        <v>177</v>
      </c>
      <c r="E1125">
        <v>6</v>
      </c>
      <c r="F1125" t="s">
        <v>15</v>
      </c>
      <c r="G1125" t="s">
        <v>84</v>
      </c>
      <c r="H1125" t="s">
        <v>17</v>
      </c>
      <c r="I1125" s="2">
        <v>45304</v>
      </c>
      <c r="J1125" t="s">
        <v>1354</v>
      </c>
      <c r="K1125" t="s">
        <v>44</v>
      </c>
      <c r="L1125" t="s">
        <v>45</v>
      </c>
      <c r="M1125" t="s">
        <v>78</v>
      </c>
      <c r="N1125" t="str">
        <f t="shared" si="35"/>
        <v>January</v>
      </c>
    </row>
    <row r="1126" spans="1:14" x14ac:dyDescent="0.3">
      <c r="A1126" t="s">
        <v>1353</v>
      </c>
      <c r="B1126" s="1">
        <v>4699</v>
      </c>
      <c r="C1126" s="1">
        <f t="shared" si="34"/>
        <v>4074</v>
      </c>
      <c r="D1126">
        <v>625</v>
      </c>
      <c r="E1126">
        <v>18</v>
      </c>
      <c r="F1126" t="s">
        <v>32</v>
      </c>
      <c r="G1126" t="s">
        <v>59</v>
      </c>
      <c r="H1126" t="s">
        <v>42</v>
      </c>
      <c r="I1126" s="2">
        <v>45304</v>
      </c>
      <c r="J1126" t="s">
        <v>1354</v>
      </c>
      <c r="K1126" t="s">
        <v>44</v>
      </c>
      <c r="L1126" t="s">
        <v>45</v>
      </c>
      <c r="M1126" t="s">
        <v>78</v>
      </c>
      <c r="N1126" t="str">
        <f t="shared" si="35"/>
        <v>January</v>
      </c>
    </row>
    <row r="1127" spans="1:14" x14ac:dyDescent="0.3">
      <c r="A1127" t="s">
        <v>1355</v>
      </c>
      <c r="B1127" s="1">
        <v>5557</v>
      </c>
      <c r="C1127" s="1">
        <f t="shared" si="34"/>
        <v>3443</v>
      </c>
      <c r="D1127">
        <v>2114</v>
      </c>
      <c r="E1127">
        <v>17</v>
      </c>
      <c r="F1127" t="s">
        <v>15</v>
      </c>
      <c r="G1127" t="s">
        <v>41</v>
      </c>
      <c r="H1127" t="s">
        <v>42</v>
      </c>
      <c r="I1127" s="2">
        <v>44344</v>
      </c>
      <c r="J1127" t="s">
        <v>1356</v>
      </c>
      <c r="K1127" t="s">
        <v>100</v>
      </c>
      <c r="L1127" t="s">
        <v>119</v>
      </c>
      <c r="M1127" t="s">
        <v>110</v>
      </c>
      <c r="N1127" t="str">
        <f t="shared" si="35"/>
        <v>May</v>
      </c>
    </row>
    <row r="1128" spans="1:14" x14ac:dyDescent="0.3">
      <c r="A1128" t="s">
        <v>1357</v>
      </c>
      <c r="B1128" s="1">
        <v>3436</v>
      </c>
      <c r="C1128" s="1">
        <f t="shared" si="34"/>
        <v>2503</v>
      </c>
      <c r="D1128">
        <v>933</v>
      </c>
      <c r="E1128">
        <v>3</v>
      </c>
      <c r="F1128" t="s">
        <v>15</v>
      </c>
      <c r="G1128" t="s">
        <v>16</v>
      </c>
      <c r="H1128" t="s">
        <v>49</v>
      </c>
      <c r="I1128" s="2">
        <v>44360</v>
      </c>
      <c r="J1128" t="s">
        <v>1358</v>
      </c>
      <c r="K1128" t="s">
        <v>73</v>
      </c>
      <c r="L1128" t="s">
        <v>74</v>
      </c>
      <c r="M1128" t="s">
        <v>127</v>
      </c>
      <c r="N1128" t="str">
        <f t="shared" si="35"/>
        <v>June</v>
      </c>
    </row>
    <row r="1129" spans="1:14" x14ac:dyDescent="0.3">
      <c r="A1129" t="s">
        <v>1359</v>
      </c>
      <c r="B1129" s="1">
        <v>9840</v>
      </c>
      <c r="C1129" s="1">
        <f t="shared" si="34"/>
        <v>5970</v>
      </c>
      <c r="D1129">
        <v>3870</v>
      </c>
      <c r="E1129">
        <v>11</v>
      </c>
      <c r="F1129" t="s">
        <v>15</v>
      </c>
      <c r="G1129" t="s">
        <v>30</v>
      </c>
      <c r="H1129" t="s">
        <v>34</v>
      </c>
      <c r="I1129" s="2">
        <v>45041</v>
      </c>
      <c r="J1129" t="s">
        <v>1360</v>
      </c>
      <c r="K1129" t="s">
        <v>73</v>
      </c>
      <c r="L1129" t="s">
        <v>88</v>
      </c>
      <c r="M1129" t="s">
        <v>147</v>
      </c>
      <c r="N1129" t="str">
        <f t="shared" si="35"/>
        <v>April</v>
      </c>
    </row>
    <row r="1130" spans="1:14" x14ac:dyDescent="0.3">
      <c r="A1130" t="s">
        <v>1361</v>
      </c>
      <c r="B1130" s="1">
        <v>7620</v>
      </c>
      <c r="C1130" s="1">
        <f t="shared" si="34"/>
        <v>7495</v>
      </c>
      <c r="D1130">
        <v>125</v>
      </c>
      <c r="E1130">
        <v>4</v>
      </c>
      <c r="F1130" t="s">
        <v>32</v>
      </c>
      <c r="G1130" t="s">
        <v>66</v>
      </c>
      <c r="H1130" t="s">
        <v>42</v>
      </c>
      <c r="I1130" s="2">
        <v>44382</v>
      </c>
      <c r="J1130" t="s">
        <v>1362</v>
      </c>
      <c r="K1130" t="s">
        <v>44</v>
      </c>
      <c r="L1130" t="s">
        <v>94</v>
      </c>
      <c r="M1130" t="s">
        <v>29</v>
      </c>
      <c r="N1130" t="str">
        <f t="shared" si="35"/>
        <v>July</v>
      </c>
    </row>
    <row r="1131" spans="1:14" x14ac:dyDescent="0.3">
      <c r="A1131" t="s">
        <v>1361</v>
      </c>
      <c r="B1131" s="1">
        <v>7620</v>
      </c>
      <c r="C1131" s="1">
        <f t="shared" si="34"/>
        <v>7495</v>
      </c>
      <c r="D1131">
        <v>125</v>
      </c>
      <c r="E1131">
        <v>4</v>
      </c>
      <c r="F1131" t="s">
        <v>32</v>
      </c>
      <c r="G1131" t="s">
        <v>66</v>
      </c>
      <c r="H1131" t="s">
        <v>42</v>
      </c>
      <c r="I1131" s="2">
        <v>45577</v>
      </c>
      <c r="J1131" t="s">
        <v>1363</v>
      </c>
      <c r="K1131" t="s">
        <v>44</v>
      </c>
      <c r="L1131" t="s">
        <v>94</v>
      </c>
      <c r="M1131" t="s">
        <v>362</v>
      </c>
      <c r="N1131" t="str">
        <f t="shared" si="35"/>
        <v>October</v>
      </c>
    </row>
    <row r="1132" spans="1:14" x14ac:dyDescent="0.3">
      <c r="A1132" t="s">
        <v>1364</v>
      </c>
      <c r="B1132" s="1">
        <v>4314</v>
      </c>
      <c r="C1132" s="1">
        <f t="shared" si="34"/>
        <v>2723</v>
      </c>
      <c r="D1132">
        <v>1591</v>
      </c>
      <c r="E1132">
        <v>5</v>
      </c>
      <c r="F1132" t="s">
        <v>47</v>
      </c>
      <c r="G1132" t="s">
        <v>48</v>
      </c>
      <c r="H1132" t="s">
        <v>34</v>
      </c>
      <c r="I1132" s="2">
        <v>44473</v>
      </c>
      <c r="J1132" t="s">
        <v>1365</v>
      </c>
      <c r="K1132" t="s">
        <v>27</v>
      </c>
      <c r="L1132" t="s">
        <v>28</v>
      </c>
      <c r="M1132" t="s">
        <v>39</v>
      </c>
      <c r="N1132" t="str">
        <f t="shared" si="35"/>
        <v>October</v>
      </c>
    </row>
    <row r="1133" spans="1:14" x14ac:dyDescent="0.3">
      <c r="A1133" t="s">
        <v>1366</v>
      </c>
      <c r="B1133" s="1">
        <v>8851</v>
      </c>
      <c r="C1133" s="1">
        <f t="shared" si="34"/>
        <v>7852</v>
      </c>
      <c r="D1133">
        <v>999</v>
      </c>
      <c r="E1133">
        <v>12</v>
      </c>
      <c r="F1133" t="s">
        <v>15</v>
      </c>
      <c r="G1133" t="s">
        <v>41</v>
      </c>
      <c r="H1133" t="s">
        <v>17</v>
      </c>
      <c r="I1133" s="2">
        <v>45329</v>
      </c>
      <c r="J1133" t="s">
        <v>1367</v>
      </c>
      <c r="K1133" t="s">
        <v>100</v>
      </c>
      <c r="L1133" t="s">
        <v>109</v>
      </c>
      <c r="M1133" t="s">
        <v>220</v>
      </c>
      <c r="N1133" t="str">
        <f t="shared" si="35"/>
        <v>February</v>
      </c>
    </row>
    <row r="1134" spans="1:14" x14ac:dyDescent="0.3">
      <c r="A1134" t="s">
        <v>1368</v>
      </c>
      <c r="B1134" s="1">
        <v>544</v>
      </c>
      <c r="C1134" s="1">
        <f t="shared" si="34"/>
        <v>272</v>
      </c>
      <c r="D1134">
        <v>272</v>
      </c>
      <c r="E1134">
        <v>2</v>
      </c>
      <c r="F1134" t="s">
        <v>15</v>
      </c>
      <c r="G1134" t="s">
        <v>41</v>
      </c>
      <c r="H1134" t="s">
        <v>34</v>
      </c>
      <c r="I1134" s="2">
        <v>44260</v>
      </c>
      <c r="J1134" t="s">
        <v>1369</v>
      </c>
      <c r="K1134" t="s">
        <v>73</v>
      </c>
      <c r="L1134" t="s">
        <v>140</v>
      </c>
      <c r="M1134" t="s">
        <v>169</v>
      </c>
      <c r="N1134" t="str">
        <f t="shared" si="35"/>
        <v>March</v>
      </c>
    </row>
    <row r="1135" spans="1:14" x14ac:dyDescent="0.3">
      <c r="A1135" t="s">
        <v>1368</v>
      </c>
      <c r="B1135" s="1">
        <v>544</v>
      </c>
      <c r="C1135" s="1">
        <f t="shared" si="34"/>
        <v>272</v>
      </c>
      <c r="D1135">
        <v>272</v>
      </c>
      <c r="E1135">
        <v>2</v>
      </c>
      <c r="F1135" t="s">
        <v>15</v>
      </c>
      <c r="G1135" t="s">
        <v>41</v>
      </c>
      <c r="H1135" t="s">
        <v>34</v>
      </c>
      <c r="I1135" s="2">
        <v>45102</v>
      </c>
      <c r="J1135" t="s">
        <v>1370</v>
      </c>
      <c r="K1135" t="s">
        <v>27</v>
      </c>
      <c r="L1135" t="s">
        <v>28</v>
      </c>
      <c r="M1135" t="s">
        <v>21</v>
      </c>
      <c r="N1135" t="str">
        <f t="shared" si="35"/>
        <v>June</v>
      </c>
    </row>
    <row r="1136" spans="1:14" x14ac:dyDescent="0.3">
      <c r="A1136" t="s">
        <v>1371</v>
      </c>
      <c r="B1136" s="1">
        <v>537</v>
      </c>
      <c r="C1136" s="1">
        <f t="shared" si="34"/>
        <v>395</v>
      </c>
      <c r="D1136">
        <v>142</v>
      </c>
      <c r="E1136">
        <v>20</v>
      </c>
      <c r="F1136" t="s">
        <v>32</v>
      </c>
      <c r="G1136" t="s">
        <v>59</v>
      </c>
      <c r="H1136" t="s">
        <v>42</v>
      </c>
      <c r="I1136" s="2">
        <v>44410</v>
      </c>
      <c r="J1136" t="s">
        <v>1372</v>
      </c>
      <c r="K1136" t="s">
        <v>23</v>
      </c>
      <c r="L1136" t="s">
        <v>174</v>
      </c>
      <c r="M1136" t="s">
        <v>180</v>
      </c>
      <c r="N1136" t="str">
        <f t="shared" si="35"/>
        <v>August</v>
      </c>
    </row>
    <row r="1137" spans="1:14" x14ac:dyDescent="0.3">
      <c r="A1137" t="s">
        <v>1373</v>
      </c>
      <c r="B1137" s="1">
        <v>5944</v>
      </c>
      <c r="C1137" s="1">
        <f t="shared" si="34"/>
        <v>3283</v>
      </c>
      <c r="D1137">
        <v>2661</v>
      </c>
      <c r="E1137">
        <v>7</v>
      </c>
      <c r="F1137" t="s">
        <v>15</v>
      </c>
      <c r="G1137" t="s">
        <v>41</v>
      </c>
      <c r="H1137" t="s">
        <v>42</v>
      </c>
      <c r="I1137" s="2">
        <v>44637</v>
      </c>
      <c r="J1137" t="s">
        <v>1374</v>
      </c>
      <c r="K1137" t="s">
        <v>73</v>
      </c>
      <c r="L1137" t="s">
        <v>88</v>
      </c>
      <c r="M1137" t="s">
        <v>136</v>
      </c>
      <c r="N1137" t="str">
        <f t="shared" si="35"/>
        <v>March</v>
      </c>
    </row>
    <row r="1138" spans="1:14" x14ac:dyDescent="0.3">
      <c r="A1138" t="s">
        <v>1375</v>
      </c>
      <c r="B1138" s="1">
        <v>2258</v>
      </c>
      <c r="C1138" s="1">
        <f t="shared" si="34"/>
        <v>2123</v>
      </c>
      <c r="D1138">
        <v>135</v>
      </c>
      <c r="E1138">
        <v>18</v>
      </c>
      <c r="F1138" t="s">
        <v>15</v>
      </c>
      <c r="G1138" t="s">
        <v>30</v>
      </c>
      <c r="H1138" t="s">
        <v>49</v>
      </c>
      <c r="I1138" s="2">
        <v>45329</v>
      </c>
      <c r="J1138" t="s">
        <v>1376</v>
      </c>
      <c r="K1138" t="s">
        <v>19</v>
      </c>
      <c r="L1138" t="s">
        <v>20</v>
      </c>
      <c r="M1138" t="s">
        <v>220</v>
      </c>
      <c r="N1138" t="str">
        <f t="shared" si="35"/>
        <v>February</v>
      </c>
    </row>
    <row r="1139" spans="1:14" x14ac:dyDescent="0.3">
      <c r="A1139" t="s">
        <v>1375</v>
      </c>
      <c r="B1139" s="1">
        <v>2258</v>
      </c>
      <c r="C1139" s="1">
        <f t="shared" si="34"/>
        <v>2123</v>
      </c>
      <c r="D1139">
        <v>135</v>
      </c>
      <c r="E1139">
        <v>18</v>
      </c>
      <c r="F1139" t="s">
        <v>15</v>
      </c>
      <c r="G1139" t="s">
        <v>30</v>
      </c>
      <c r="H1139" t="s">
        <v>49</v>
      </c>
      <c r="I1139" s="2">
        <v>44792</v>
      </c>
      <c r="J1139" t="s">
        <v>1377</v>
      </c>
      <c r="K1139" t="s">
        <v>44</v>
      </c>
      <c r="L1139" t="s">
        <v>77</v>
      </c>
      <c r="M1139" t="s">
        <v>211</v>
      </c>
      <c r="N1139" t="str">
        <f t="shared" si="35"/>
        <v>August</v>
      </c>
    </row>
    <row r="1140" spans="1:14" x14ac:dyDescent="0.3">
      <c r="A1140" t="s">
        <v>1378</v>
      </c>
      <c r="B1140" s="1">
        <v>9609</v>
      </c>
      <c r="C1140" s="1">
        <f t="shared" si="34"/>
        <v>5270</v>
      </c>
      <c r="D1140">
        <v>4339</v>
      </c>
      <c r="E1140">
        <v>3</v>
      </c>
      <c r="F1140" t="s">
        <v>47</v>
      </c>
      <c r="G1140" t="s">
        <v>62</v>
      </c>
      <c r="H1140" t="s">
        <v>34</v>
      </c>
      <c r="I1140" s="2">
        <v>45554</v>
      </c>
      <c r="J1140" t="s">
        <v>1379</v>
      </c>
      <c r="K1140" t="s">
        <v>73</v>
      </c>
      <c r="L1140" t="s">
        <v>140</v>
      </c>
      <c r="M1140" t="s">
        <v>161</v>
      </c>
      <c r="N1140" t="str">
        <f t="shared" si="35"/>
        <v>September</v>
      </c>
    </row>
    <row r="1141" spans="1:14" x14ac:dyDescent="0.3">
      <c r="A1141" t="s">
        <v>1378</v>
      </c>
      <c r="B1141" s="1">
        <v>9609</v>
      </c>
      <c r="C1141" s="1">
        <f t="shared" si="34"/>
        <v>5270</v>
      </c>
      <c r="D1141">
        <v>4339</v>
      </c>
      <c r="E1141">
        <v>3</v>
      </c>
      <c r="F1141" t="s">
        <v>47</v>
      </c>
      <c r="G1141" t="s">
        <v>62</v>
      </c>
      <c r="H1141" t="s">
        <v>34</v>
      </c>
      <c r="I1141" s="2">
        <v>43926</v>
      </c>
      <c r="J1141" t="s">
        <v>1380</v>
      </c>
      <c r="K1141" t="s">
        <v>100</v>
      </c>
      <c r="L1141" t="s">
        <v>109</v>
      </c>
      <c r="M1141" t="s">
        <v>164</v>
      </c>
      <c r="N1141" t="str">
        <f t="shared" si="35"/>
        <v>April</v>
      </c>
    </row>
    <row r="1142" spans="1:14" x14ac:dyDescent="0.3">
      <c r="A1142" t="s">
        <v>1381</v>
      </c>
      <c r="B1142" s="1">
        <v>9952</v>
      </c>
      <c r="C1142" s="1">
        <f t="shared" si="34"/>
        <v>6651</v>
      </c>
      <c r="D1142">
        <v>3301</v>
      </c>
      <c r="E1142">
        <v>15</v>
      </c>
      <c r="F1142" t="s">
        <v>15</v>
      </c>
      <c r="G1142" t="s">
        <v>16</v>
      </c>
      <c r="H1142" t="s">
        <v>34</v>
      </c>
      <c r="I1142" s="2">
        <v>44995</v>
      </c>
      <c r="J1142" t="s">
        <v>1382</v>
      </c>
      <c r="K1142" t="s">
        <v>73</v>
      </c>
      <c r="L1142" t="s">
        <v>74</v>
      </c>
      <c r="M1142" t="s">
        <v>247</v>
      </c>
      <c r="N1142" t="str">
        <f t="shared" si="35"/>
        <v>March</v>
      </c>
    </row>
    <row r="1143" spans="1:14" x14ac:dyDescent="0.3">
      <c r="A1143" t="s">
        <v>1383</v>
      </c>
      <c r="B1143" s="1">
        <v>9873</v>
      </c>
      <c r="C1143" s="1">
        <f t="shared" si="34"/>
        <v>5288</v>
      </c>
      <c r="D1143">
        <v>4585</v>
      </c>
      <c r="E1143">
        <v>7</v>
      </c>
      <c r="F1143" t="s">
        <v>32</v>
      </c>
      <c r="G1143" t="s">
        <v>66</v>
      </c>
      <c r="H1143" t="s">
        <v>49</v>
      </c>
      <c r="I1143" s="2">
        <v>44053</v>
      </c>
      <c r="J1143" t="s">
        <v>1384</v>
      </c>
      <c r="K1143" t="s">
        <v>100</v>
      </c>
      <c r="L1143" t="s">
        <v>101</v>
      </c>
      <c r="M1143" t="s">
        <v>187</v>
      </c>
      <c r="N1143" t="str">
        <f t="shared" si="35"/>
        <v>August</v>
      </c>
    </row>
    <row r="1144" spans="1:14" x14ac:dyDescent="0.3">
      <c r="A1144" t="s">
        <v>1385</v>
      </c>
      <c r="B1144" s="1">
        <v>3560</v>
      </c>
      <c r="C1144" s="1">
        <f t="shared" si="34"/>
        <v>2225</v>
      </c>
      <c r="D1144">
        <v>1335</v>
      </c>
      <c r="E1144">
        <v>15</v>
      </c>
      <c r="F1144" t="s">
        <v>15</v>
      </c>
      <c r="G1144" t="s">
        <v>16</v>
      </c>
      <c r="H1144" t="s">
        <v>67</v>
      </c>
      <c r="I1144" s="2">
        <v>43950</v>
      </c>
      <c r="J1144" t="s">
        <v>1386</v>
      </c>
      <c r="K1144" t="s">
        <v>27</v>
      </c>
      <c r="L1144" t="s">
        <v>53</v>
      </c>
      <c r="M1144" t="s">
        <v>164</v>
      </c>
      <c r="N1144" t="str">
        <f t="shared" si="35"/>
        <v>April</v>
      </c>
    </row>
    <row r="1145" spans="1:14" x14ac:dyDescent="0.3">
      <c r="A1145" t="s">
        <v>1385</v>
      </c>
      <c r="B1145" s="1">
        <v>3560</v>
      </c>
      <c r="C1145" s="1">
        <f t="shared" si="34"/>
        <v>2225</v>
      </c>
      <c r="D1145">
        <v>1335</v>
      </c>
      <c r="E1145">
        <v>15</v>
      </c>
      <c r="F1145" t="s">
        <v>15</v>
      </c>
      <c r="G1145" t="s">
        <v>16</v>
      </c>
      <c r="H1145" t="s">
        <v>67</v>
      </c>
      <c r="I1145" s="2">
        <v>45001</v>
      </c>
      <c r="J1145" t="s">
        <v>1387</v>
      </c>
      <c r="K1145" t="s">
        <v>23</v>
      </c>
      <c r="L1145" t="s">
        <v>65</v>
      </c>
      <c r="M1145" t="s">
        <v>247</v>
      </c>
      <c r="N1145" t="str">
        <f t="shared" si="35"/>
        <v>March</v>
      </c>
    </row>
    <row r="1146" spans="1:14" x14ac:dyDescent="0.3">
      <c r="A1146" t="s">
        <v>1388</v>
      </c>
      <c r="B1146" s="1">
        <v>6528</v>
      </c>
      <c r="C1146" s="1">
        <f t="shared" si="34"/>
        <v>6452</v>
      </c>
      <c r="D1146">
        <v>76</v>
      </c>
      <c r="E1146">
        <v>9</v>
      </c>
      <c r="F1146" t="s">
        <v>15</v>
      </c>
      <c r="G1146" t="s">
        <v>84</v>
      </c>
      <c r="H1146" t="s">
        <v>34</v>
      </c>
      <c r="I1146" s="2">
        <v>43955</v>
      </c>
      <c r="J1146" t="s">
        <v>1389</v>
      </c>
      <c r="K1146" t="s">
        <v>27</v>
      </c>
      <c r="L1146" t="s">
        <v>28</v>
      </c>
      <c r="M1146" t="s">
        <v>61</v>
      </c>
      <c r="N1146" t="str">
        <f t="shared" si="35"/>
        <v>May</v>
      </c>
    </row>
    <row r="1147" spans="1:14" x14ac:dyDescent="0.3">
      <c r="A1147" t="s">
        <v>1388</v>
      </c>
      <c r="B1147" s="1">
        <v>8930</v>
      </c>
      <c r="C1147" s="1">
        <f t="shared" si="34"/>
        <v>5556</v>
      </c>
      <c r="D1147">
        <v>3374</v>
      </c>
      <c r="E1147">
        <v>12</v>
      </c>
      <c r="F1147" t="s">
        <v>47</v>
      </c>
      <c r="G1147" t="s">
        <v>62</v>
      </c>
      <c r="H1147" t="s">
        <v>34</v>
      </c>
      <c r="I1147" s="2">
        <v>43955</v>
      </c>
      <c r="J1147" t="s">
        <v>1389</v>
      </c>
      <c r="K1147" t="s">
        <v>27</v>
      </c>
      <c r="L1147" t="s">
        <v>28</v>
      </c>
      <c r="M1147" t="s">
        <v>61</v>
      </c>
      <c r="N1147" t="str">
        <f t="shared" si="35"/>
        <v>May</v>
      </c>
    </row>
    <row r="1148" spans="1:14" x14ac:dyDescent="0.3">
      <c r="A1148" t="s">
        <v>1390</v>
      </c>
      <c r="B1148" s="1">
        <v>4521</v>
      </c>
      <c r="C1148" s="1">
        <f t="shared" si="34"/>
        <v>2743</v>
      </c>
      <c r="D1148">
        <v>1778</v>
      </c>
      <c r="E1148">
        <v>9</v>
      </c>
      <c r="F1148" t="s">
        <v>32</v>
      </c>
      <c r="G1148" t="s">
        <v>66</v>
      </c>
      <c r="H1148" t="s">
        <v>34</v>
      </c>
      <c r="I1148" s="2">
        <v>45580</v>
      </c>
      <c r="J1148" t="s">
        <v>1391</v>
      </c>
      <c r="K1148" t="s">
        <v>19</v>
      </c>
      <c r="L1148" t="s">
        <v>152</v>
      </c>
      <c r="M1148" t="s">
        <v>362</v>
      </c>
      <c r="N1148" t="str">
        <f t="shared" si="35"/>
        <v>October</v>
      </c>
    </row>
    <row r="1149" spans="1:14" x14ac:dyDescent="0.3">
      <c r="A1149" t="s">
        <v>1392</v>
      </c>
      <c r="B1149" s="1">
        <v>7091</v>
      </c>
      <c r="C1149" s="1">
        <f t="shared" si="34"/>
        <v>4774</v>
      </c>
      <c r="D1149">
        <v>2317</v>
      </c>
      <c r="E1149">
        <v>10</v>
      </c>
      <c r="F1149" t="s">
        <v>47</v>
      </c>
      <c r="G1149" t="s">
        <v>62</v>
      </c>
      <c r="H1149" t="s">
        <v>49</v>
      </c>
      <c r="I1149" s="2">
        <v>44721</v>
      </c>
      <c r="J1149" t="s">
        <v>1393</v>
      </c>
      <c r="K1149" t="s">
        <v>44</v>
      </c>
      <c r="L1149" t="s">
        <v>77</v>
      </c>
      <c r="M1149" t="s">
        <v>167</v>
      </c>
      <c r="N1149" t="str">
        <f t="shared" si="35"/>
        <v>June</v>
      </c>
    </row>
    <row r="1150" spans="1:14" x14ac:dyDescent="0.3">
      <c r="A1150" t="s">
        <v>1394</v>
      </c>
      <c r="B1150" s="1">
        <v>2101</v>
      </c>
      <c r="C1150" s="1">
        <f t="shared" si="34"/>
        <v>1814</v>
      </c>
      <c r="D1150">
        <v>287</v>
      </c>
      <c r="E1150">
        <v>8</v>
      </c>
      <c r="F1150" t="s">
        <v>32</v>
      </c>
      <c r="G1150" t="s">
        <v>33</v>
      </c>
      <c r="H1150" t="s">
        <v>67</v>
      </c>
      <c r="I1150" s="2">
        <v>44016</v>
      </c>
      <c r="J1150" t="s">
        <v>705</v>
      </c>
      <c r="K1150" t="s">
        <v>100</v>
      </c>
      <c r="L1150" t="s">
        <v>119</v>
      </c>
      <c r="M1150" t="s">
        <v>464</v>
      </c>
      <c r="N1150" t="str">
        <f t="shared" si="35"/>
        <v>July</v>
      </c>
    </row>
    <row r="1151" spans="1:14" x14ac:dyDescent="0.3">
      <c r="A1151" t="s">
        <v>1394</v>
      </c>
      <c r="B1151" s="1">
        <v>2101</v>
      </c>
      <c r="C1151" s="1">
        <f t="shared" si="34"/>
        <v>1814</v>
      </c>
      <c r="D1151">
        <v>287</v>
      </c>
      <c r="E1151">
        <v>8</v>
      </c>
      <c r="F1151" t="s">
        <v>32</v>
      </c>
      <c r="G1151" t="s">
        <v>33</v>
      </c>
      <c r="H1151" t="s">
        <v>67</v>
      </c>
      <c r="I1151" s="2">
        <v>45025</v>
      </c>
      <c r="J1151" t="s">
        <v>1395</v>
      </c>
      <c r="K1151" t="s">
        <v>23</v>
      </c>
      <c r="L1151" t="s">
        <v>24</v>
      </c>
      <c r="M1151" t="s">
        <v>147</v>
      </c>
      <c r="N1151" t="str">
        <f t="shared" si="35"/>
        <v>April</v>
      </c>
    </row>
    <row r="1152" spans="1:14" x14ac:dyDescent="0.3">
      <c r="A1152" t="s">
        <v>1396</v>
      </c>
      <c r="B1152" s="1">
        <v>8644</v>
      </c>
      <c r="C1152" s="1">
        <f t="shared" si="34"/>
        <v>6676</v>
      </c>
      <c r="D1152">
        <v>1968</v>
      </c>
      <c r="E1152">
        <v>9</v>
      </c>
      <c r="F1152" t="s">
        <v>32</v>
      </c>
      <c r="G1152" t="s">
        <v>66</v>
      </c>
      <c r="H1152" t="s">
        <v>34</v>
      </c>
      <c r="I1152" s="2">
        <v>45254</v>
      </c>
      <c r="J1152" t="s">
        <v>1397</v>
      </c>
      <c r="K1152" t="s">
        <v>23</v>
      </c>
      <c r="L1152" t="s">
        <v>24</v>
      </c>
      <c r="M1152" t="s">
        <v>54</v>
      </c>
      <c r="N1152" t="str">
        <f t="shared" si="35"/>
        <v>November</v>
      </c>
    </row>
    <row r="1153" spans="1:14" x14ac:dyDescent="0.3">
      <c r="A1153" t="s">
        <v>1398</v>
      </c>
      <c r="B1153" s="1">
        <v>6672</v>
      </c>
      <c r="C1153" s="1">
        <f t="shared" si="34"/>
        <v>3353</v>
      </c>
      <c r="D1153">
        <v>3319</v>
      </c>
      <c r="E1153">
        <v>4</v>
      </c>
      <c r="F1153" t="s">
        <v>47</v>
      </c>
      <c r="G1153" t="s">
        <v>48</v>
      </c>
      <c r="H1153" t="s">
        <v>17</v>
      </c>
      <c r="I1153" s="2">
        <v>45259</v>
      </c>
      <c r="J1153" t="s">
        <v>1399</v>
      </c>
      <c r="K1153" t="s">
        <v>73</v>
      </c>
      <c r="L1153" t="s">
        <v>74</v>
      </c>
      <c r="M1153" t="s">
        <v>54</v>
      </c>
      <c r="N1153" t="str">
        <f t="shared" si="35"/>
        <v>November</v>
      </c>
    </row>
    <row r="1154" spans="1:14" x14ac:dyDescent="0.3">
      <c r="A1154" t="s">
        <v>1398</v>
      </c>
      <c r="B1154" s="1">
        <v>6672</v>
      </c>
      <c r="C1154" s="1">
        <f t="shared" ref="C1154:C1195" si="36">B1154-D1154</f>
        <v>3353</v>
      </c>
      <c r="D1154">
        <v>3319</v>
      </c>
      <c r="E1154">
        <v>4</v>
      </c>
      <c r="F1154" t="s">
        <v>47</v>
      </c>
      <c r="G1154" t="s">
        <v>48</v>
      </c>
      <c r="H1154" t="s">
        <v>17</v>
      </c>
      <c r="I1154" s="2">
        <v>45432</v>
      </c>
      <c r="J1154" t="s">
        <v>1400</v>
      </c>
      <c r="K1154" t="s">
        <v>44</v>
      </c>
      <c r="L1154" t="s">
        <v>77</v>
      </c>
      <c r="M1154" t="s">
        <v>37</v>
      </c>
      <c r="N1154" t="str">
        <f t="shared" si="35"/>
        <v>May</v>
      </c>
    </row>
    <row r="1155" spans="1:14" x14ac:dyDescent="0.3">
      <c r="A1155" t="s">
        <v>1401</v>
      </c>
      <c r="B1155" s="1">
        <v>4699</v>
      </c>
      <c r="C1155" s="1">
        <f t="shared" si="36"/>
        <v>4596</v>
      </c>
      <c r="D1155">
        <v>103</v>
      </c>
      <c r="E1155">
        <v>12</v>
      </c>
      <c r="F1155" t="s">
        <v>32</v>
      </c>
      <c r="G1155" t="s">
        <v>80</v>
      </c>
      <c r="H1155" t="s">
        <v>17</v>
      </c>
      <c r="I1155" s="2">
        <v>45433</v>
      </c>
      <c r="J1155" t="s">
        <v>1402</v>
      </c>
      <c r="K1155" t="s">
        <v>100</v>
      </c>
      <c r="L1155" t="s">
        <v>109</v>
      </c>
      <c r="M1155" t="s">
        <v>37</v>
      </c>
      <c r="N1155" t="str">
        <f t="shared" ref="N1155:N1195" si="37">TEXT(DATE(LEFT(M1155,4),RIGHT(M1155,2),1),"mmmm")</f>
        <v>May</v>
      </c>
    </row>
    <row r="1156" spans="1:14" x14ac:dyDescent="0.3">
      <c r="A1156" t="s">
        <v>1403</v>
      </c>
      <c r="B1156" s="1">
        <v>4897</v>
      </c>
      <c r="C1156" s="1">
        <f t="shared" si="36"/>
        <v>3896</v>
      </c>
      <c r="D1156">
        <v>1001</v>
      </c>
      <c r="E1156">
        <v>14</v>
      </c>
      <c r="F1156" t="s">
        <v>47</v>
      </c>
      <c r="G1156" t="s">
        <v>62</v>
      </c>
      <c r="H1156" t="s">
        <v>34</v>
      </c>
      <c r="I1156" s="2">
        <v>44537</v>
      </c>
      <c r="J1156" t="s">
        <v>1404</v>
      </c>
      <c r="K1156" t="s">
        <v>73</v>
      </c>
      <c r="L1156" t="s">
        <v>140</v>
      </c>
      <c r="M1156" t="s">
        <v>92</v>
      </c>
      <c r="N1156" t="str">
        <f t="shared" si="37"/>
        <v>December</v>
      </c>
    </row>
    <row r="1157" spans="1:14" x14ac:dyDescent="0.3">
      <c r="A1157" t="s">
        <v>1403</v>
      </c>
      <c r="B1157" s="1">
        <v>4897</v>
      </c>
      <c r="C1157" s="1">
        <f t="shared" si="36"/>
        <v>3896</v>
      </c>
      <c r="D1157">
        <v>1001</v>
      </c>
      <c r="E1157">
        <v>14</v>
      </c>
      <c r="F1157" t="s">
        <v>47</v>
      </c>
      <c r="G1157" t="s">
        <v>62</v>
      </c>
      <c r="H1157" t="s">
        <v>34</v>
      </c>
      <c r="I1157" s="2">
        <v>45663</v>
      </c>
      <c r="J1157" t="s">
        <v>1405</v>
      </c>
      <c r="K1157" t="s">
        <v>100</v>
      </c>
      <c r="L1157" t="s">
        <v>109</v>
      </c>
      <c r="M1157" t="s">
        <v>310</v>
      </c>
      <c r="N1157" t="str">
        <f t="shared" si="37"/>
        <v>January</v>
      </c>
    </row>
    <row r="1158" spans="1:14" x14ac:dyDescent="0.3">
      <c r="A1158" t="s">
        <v>1406</v>
      </c>
      <c r="B1158" s="1">
        <v>5460</v>
      </c>
      <c r="C1158" s="1">
        <f t="shared" si="36"/>
        <v>3372</v>
      </c>
      <c r="D1158">
        <v>2088</v>
      </c>
      <c r="E1158">
        <v>14</v>
      </c>
      <c r="F1158" t="s">
        <v>47</v>
      </c>
      <c r="G1158" t="s">
        <v>48</v>
      </c>
      <c r="H1158" t="s">
        <v>34</v>
      </c>
      <c r="I1158" s="2">
        <v>44755</v>
      </c>
      <c r="J1158" t="s">
        <v>1407</v>
      </c>
      <c r="K1158" t="s">
        <v>27</v>
      </c>
      <c r="L1158" t="s">
        <v>28</v>
      </c>
      <c r="M1158" t="s">
        <v>420</v>
      </c>
      <c r="N1158" t="str">
        <f t="shared" si="37"/>
        <v>July</v>
      </c>
    </row>
    <row r="1159" spans="1:14" x14ac:dyDescent="0.3">
      <c r="A1159" t="s">
        <v>1406</v>
      </c>
      <c r="B1159" s="1">
        <v>5460</v>
      </c>
      <c r="C1159" s="1">
        <f t="shared" si="36"/>
        <v>3372</v>
      </c>
      <c r="D1159">
        <v>2088</v>
      </c>
      <c r="E1159">
        <v>14</v>
      </c>
      <c r="F1159" t="s">
        <v>47</v>
      </c>
      <c r="G1159" t="s">
        <v>48</v>
      </c>
      <c r="H1159" t="s">
        <v>34</v>
      </c>
      <c r="I1159" s="2">
        <v>43940</v>
      </c>
      <c r="J1159" t="s">
        <v>1408</v>
      </c>
      <c r="K1159" t="s">
        <v>100</v>
      </c>
      <c r="L1159" t="s">
        <v>109</v>
      </c>
      <c r="M1159" t="s">
        <v>164</v>
      </c>
      <c r="N1159" t="str">
        <f t="shared" si="37"/>
        <v>April</v>
      </c>
    </row>
    <row r="1160" spans="1:14" x14ac:dyDescent="0.3">
      <c r="A1160" t="s">
        <v>1409</v>
      </c>
      <c r="B1160" s="1">
        <v>9272</v>
      </c>
      <c r="C1160" s="1">
        <f t="shared" si="36"/>
        <v>7501</v>
      </c>
      <c r="D1160">
        <v>1771</v>
      </c>
      <c r="E1160">
        <v>19</v>
      </c>
      <c r="F1160" t="s">
        <v>32</v>
      </c>
      <c r="G1160" t="s">
        <v>59</v>
      </c>
      <c r="H1160" t="s">
        <v>17</v>
      </c>
      <c r="I1160" s="2">
        <v>45610</v>
      </c>
      <c r="J1160" t="s">
        <v>1410</v>
      </c>
      <c r="K1160" t="s">
        <v>23</v>
      </c>
      <c r="L1160" t="s">
        <v>65</v>
      </c>
      <c r="M1160" t="s">
        <v>257</v>
      </c>
      <c r="N1160" t="str">
        <f t="shared" si="37"/>
        <v>November</v>
      </c>
    </row>
    <row r="1161" spans="1:14" x14ac:dyDescent="0.3">
      <c r="A1161" t="s">
        <v>1409</v>
      </c>
      <c r="B1161" s="1">
        <v>9272</v>
      </c>
      <c r="C1161" s="1">
        <f t="shared" si="36"/>
        <v>7501</v>
      </c>
      <c r="D1161">
        <v>1771</v>
      </c>
      <c r="E1161">
        <v>19</v>
      </c>
      <c r="F1161" t="s">
        <v>32</v>
      </c>
      <c r="G1161" t="s">
        <v>59</v>
      </c>
      <c r="H1161" t="s">
        <v>17</v>
      </c>
      <c r="I1161" s="2">
        <v>43939</v>
      </c>
      <c r="J1161" t="s">
        <v>1411</v>
      </c>
      <c r="K1161" t="s">
        <v>73</v>
      </c>
      <c r="L1161" t="s">
        <v>74</v>
      </c>
      <c r="M1161" t="s">
        <v>164</v>
      </c>
      <c r="N1161" t="str">
        <f t="shared" si="37"/>
        <v>April</v>
      </c>
    </row>
    <row r="1162" spans="1:14" x14ac:dyDescent="0.3">
      <c r="A1162" t="s">
        <v>1412</v>
      </c>
      <c r="B1162" s="1">
        <v>7870</v>
      </c>
      <c r="C1162" s="1">
        <f t="shared" si="36"/>
        <v>6813</v>
      </c>
      <c r="D1162">
        <v>1057</v>
      </c>
      <c r="E1162">
        <v>15</v>
      </c>
      <c r="F1162" t="s">
        <v>32</v>
      </c>
      <c r="G1162" t="s">
        <v>33</v>
      </c>
      <c r="H1162" t="s">
        <v>49</v>
      </c>
      <c r="I1162" s="2">
        <v>45217</v>
      </c>
      <c r="J1162" t="s">
        <v>1413</v>
      </c>
      <c r="K1162" t="s">
        <v>73</v>
      </c>
      <c r="L1162" t="s">
        <v>140</v>
      </c>
      <c r="M1162" t="s">
        <v>444</v>
      </c>
      <c r="N1162" t="str">
        <f t="shared" si="37"/>
        <v>October</v>
      </c>
    </row>
    <row r="1163" spans="1:14" x14ac:dyDescent="0.3">
      <c r="A1163" t="s">
        <v>1412</v>
      </c>
      <c r="B1163" s="1">
        <v>7870</v>
      </c>
      <c r="C1163" s="1">
        <f t="shared" si="36"/>
        <v>6813</v>
      </c>
      <c r="D1163">
        <v>1057</v>
      </c>
      <c r="E1163">
        <v>15</v>
      </c>
      <c r="F1163" t="s">
        <v>32</v>
      </c>
      <c r="G1163" t="s">
        <v>33</v>
      </c>
      <c r="H1163" t="s">
        <v>49</v>
      </c>
      <c r="I1163" s="2">
        <v>44276</v>
      </c>
      <c r="J1163" t="s">
        <v>1414</v>
      </c>
      <c r="K1163" t="s">
        <v>100</v>
      </c>
      <c r="L1163" t="s">
        <v>119</v>
      </c>
      <c r="M1163" t="s">
        <v>169</v>
      </c>
      <c r="N1163" t="str">
        <f t="shared" si="37"/>
        <v>March</v>
      </c>
    </row>
    <row r="1164" spans="1:14" x14ac:dyDescent="0.3">
      <c r="A1164" t="s">
        <v>1415</v>
      </c>
      <c r="B1164" s="1">
        <v>7992</v>
      </c>
      <c r="C1164" s="1">
        <f t="shared" si="36"/>
        <v>7099</v>
      </c>
      <c r="D1164">
        <v>893</v>
      </c>
      <c r="E1164">
        <v>12</v>
      </c>
      <c r="F1164" t="s">
        <v>15</v>
      </c>
      <c r="G1164" t="s">
        <v>41</v>
      </c>
      <c r="H1164" t="s">
        <v>49</v>
      </c>
      <c r="I1164" s="2">
        <v>45548</v>
      </c>
      <c r="J1164" t="s">
        <v>1416</v>
      </c>
      <c r="K1164" t="s">
        <v>100</v>
      </c>
      <c r="L1164" t="s">
        <v>119</v>
      </c>
      <c r="M1164" t="s">
        <v>161</v>
      </c>
      <c r="N1164" t="str">
        <f t="shared" si="37"/>
        <v>September</v>
      </c>
    </row>
    <row r="1165" spans="1:14" x14ac:dyDescent="0.3">
      <c r="A1165" t="s">
        <v>1415</v>
      </c>
      <c r="B1165" s="1">
        <v>7992</v>
      </c>
      <c r="C1165" s="1">
        <f t="shared" si="36"/>
        <v>7099</v>
      </c>
      <c r="D1165">
        <v>893</v>
      </c>
      <c r="E1165">
        <v>12</v>
      </c>
      <c r="F1165" t="s">
        <v>15</v>
      </c>
      <c r="G1165" t="s">
        <v>41</v>
      </c>
      <c r="H1165" t="s">
        <v>49</v>
      </c>
      <c r="I1165" s="2">
        <v>45050</v>
      </c>
      <c r="J1165" t="s">
        <v>1417</v>
      </c>
      <c r="K1165" t="s">
        <v>27</v>
      </c>
      <c r="L1165" t="s">
        <v>53</v>
      </c>
      <c r="M1165" t="s">
        <v>129</v>
      </c>
      <c r="N1165" t="str">
        <f t="shared" si="37"/>
        <v>May</v>
      </c>
    </row>
    <row r="1166" spans="1:14" x14ac:dyDescent="0.3">
      <c r="A1166" t="s">
        <v>1415</v>
      </c>
      <c r="B1166" s="1">
        <v>7992</v>
      </c>
      <c r="C1166" s="1">
        <f t="shared" si="36"/>
        <v>7099</v>
      </c>
      <c r="D1166">
        <v>893</v>
      </c>
      <c r="E1166">
        <v>12</v>
      </c>
      <c r="F1166" t="s">
        <v>15</v>
      </c>
      <c r="G1166" t="s">
        <v>41</v>
      </c>
      <c r="H1166" t="s">
        <v>49</v>
      </c>
      <c r="I1166" s="2">
        <v>45077</v>
      </c>
      <c r="J1166" t="s">
        <v>1418</v>
      </c>
      <c r="K1166" t="s">
        <v>23</v>
      </c>
      <c r="L1166" t="s">
        <v>24</v>
      </c>
      <c r="M1166" t="s">
        <v>129</v>
      </c>
      <c r="N1166" t="str">
        <f t="shared" si="37"/>
        <v>May</v>
      </c>
    </row>
    <row r="1167" spans="1:14" x14ac:dyDescent="0.3">
      <c r="A1167" t="s">
        <v>1419</v>
      </c>
      <c r="B1167" s="1">
        <v>6499</v>
      </c>
      <c r="C1167" s="1">
        <f t="shared" si="36"/>
        <v>4310</v>
      </c>
      <c r="D1167">
        <v>2189</v>
      </c>
      <c r="E1167">
        <v>18</v>
      </c>
      <c r="F1167" t="s">
        <v>15</v>
      </c>
      <c r="G1167" t="s">
        <v>16</v>
      </c>
      <c r="H1167" t="s">
        <v>42</v>
      </c>
      <c r="I1167" s="2">
        <v>45458</v>
      </c>
      <c r="J1167" t="s">
        <v>1420</v>
      </c>
      <c r="K1167" t="s">
        <v>27</v>
      </c>
      <c r="L1167" t="s">
        <v>53</v>
      </c>
      <c r="M1167" t="s">
        <v>264</v>
      </c>
      <c r="N1167" t="str">
        <f t="shared" si="37"/>
        <v>June</v>
      </c>
    </row>
    <row r="1168" spans="1:14" x14ac:dyDescent="0.3">
      <c r="A1168" t="s">
        <v>1419</v>
      </c>
      <c r="B1168" s="1">
        <v>6499</v>
      </c>
      <c r="C1168" s="1">
        <f t="shared" si="36"/>
        <v>4310</v>
      </c>
      <c r="D1168">
        <v>2189</v>
      </c>
      <c r="E1168">
        <v>18</v>
      </c>
      <c r="F1168" t="s">
        <v>15</v>
      </c>
      <c r="G1168" t="s">
        <v>16</v>
      </c>
      <c r="H1168" t="s">
        <v>42</v>
      </c>
      <c r="I1168" s="2">
        <v>44289</v>
      </c>
      <c r="J1168" t="s">
        <v>1421</v>
      </c>
      <c r="K1168" t="s">
        <v>19</v>
      </c>
      <c r="L1168" t="s">
        <v>36</v>
      </c>
      <c r="M1168" t="s">
        <v>141</v>
      </c>
      <c r="N1168" t="str">
        <f t="shared" si="37"/>
        <v>April</v>
      </c>
    </row>
    <row r="1169" spans="1:14" x14ac:dyDescent="0.3">
      <c r="A1169" t="s">
        <v>1422</v>
      </c>
      <c r="B1169" s="1">
        <v>8848</v>
      </c>
      <c r="C1169" s="1">
        <f t="shared" si="36"/>
        <v>6758</v>
      </c>
      <c r="D1169">
        <v>2090</v>
      </c>
      <c r="E1169">
        <v>9</v>
      </c>
      <c r="F1169" t="s">
        <v>32</v>
      </c>
      <c r="G1169" t="s">
        <v>33</v>
      </c>
      <c r="H1169" t="s">
        <v>34</v>
      </c>
      <c r="I1169" s="2">
        <v>45671</v>
      </c>
      <c r="J1169" t="s">
        <v>1423</v>
      </c>
      <c r="K1169" t="s">
        <v>44</v>
      </c>
      <c r="L1169" t="s">
        <v>77</v>
      </c>
      <c r="M1169" t="s">
        <v>310</v>
      </c>
      <c r="N1169" t="str">
        <f t="shared" si="37"/>
        <v>January</v>
      </c>
    </row>
    <row r="1170" spans="1:14" x14ac:dyDescent="0.3">
      <c r="A1170" t="s">
        <v>1424</v>
      </c>
      <c r="B1170" s="1">
        <v>8044</v>
      </c>
      <c r="C1170" s="1">
        <f t="shared" si="36"/>
        <v>4410</v>
      </c>
      <c r="D1170">
        <v>3634</v>
      </c>
      <c r="E1170">
        <v>3</v>
      </c>
      <c r="F1170" t="s">
        <v>32</v>
      </c>
      <c r="G1170" t="s">
        <v>59</v>
      </c>
      <c r="H1170" t="s">
        <v>67</v>
      </c>
      <c r="I1170" s="2">
        <v>44189</v>
      </c>
      <c r="J1170" t="s">
        <v>1425</v>
      </c>
      <c r="K1170" t="s">
        <v>19</v>
      </c>
      <c r="L1170" t="s">
        <v>36</v>
      </c>
      <c r="M1170" t="s">
        <v>289</v>
      </c>
      <c r="N1170" t="str">
        <f t="shared" si="37"/>
        <v>December</v>
      </c>
    </row>
    <row r="1171" spans="1:14" x14ac:dyDescent="0.3">
      <c r="A1171" t="s">
        <v>1424</v>
      </c>
      <c r="B1171" s="1">
        <v>8044</v>
      </c>
      <c r="C1171" s="1">
        <f t="shared" si="36"/>
        <v>4410</v>
      </c>
      <c r="D1171">
        <v>3634</v>
      </c>
      <c r="E1171">
        <v>3</v>
      </c>
      <c r="F1171" t="s">
        <v>32</v>
      </c>
      <c r="G1171" t="s">
        <v>59</v>
      </c>
      <c r="H1171" t="s">
        <v>67</v>
      </c>
      <c r="I1171" s="2">
        <v>44841</v>
      </c>
      <c r="J1171" t="s">
        <v>1426</v>
      </c>
      <c r="K1171" t="s">
        <v>44</v>
      </c>
      <c r="L1171" t="s">
        <v>77</v>
      </c>
      <c r="M1171" t="s">
        <v>98</v>
      </c>
      <c r="N1171" t="str">
        <f t="shared" si="37"/>
        <v>October</v>
      </c>
    </row>
    <row r="1172" spans="1:14" x14ac:dyDescent="0.3">
      <c r="A1172" t="s">
        <v>1427</v>
      </c>
      <c r="B1172" s="1">
        <v>7417</v>
      </c>
      <c r="C1172" s="1">
        <f t="shared" si="36"/>
        <v>6083</v>
      </c>
      <c r="D1172">
        <v>1334</v>
      </c>
      <c r="E1172">
        <v>16</v>
      </c>
      <c r="F1172" t="s">
        <v>47</v>
      </c>
      <c r="G1172" t="s">
        <v>111</v>
      </c>
      <c r="H1172" t="s">
        <v>67</v>
      </c>
      <c r="I1172" s="2">
        <v>44474</v>
      </c>
      <c r="J1172" t="s">
        <v>1428</v>
      </c>
      <c r="K1172" t="s">
        <v>19</v>
      </c>
      <c r="L1172" t="s">
        <v>152</v>
      </c>
      <c r="M1172" t="s">
        <v>39</v>
      </c>
      <c r="N1172" t="str">
        <f t="shared" si="37"/>
        <v>October</v>
      </c>
    </row>
    <row r="1173" spans="1:14" x14ac:dyDescent="0.3">
      <c r="A1173" t="s">
        <v>1429</v>
      </c>
      <c r="B1173" s="1">
        <v>3451</v>
      </c>
      <c r="C1173" s="1">
        <f t="shared" si="36"/>
        <v>2793</v>
      </c>
      <c r="D1173">
        <v>658</v>
      </c>
      <c r="E1173">
        <v>3</v>
      </c>
      <c r="F1173" t="s">
        <v>32</v>
      </c>
      <c r="G1173" t="s">
        <v>59</v>
      </c>
      <c r="H1173" t="s">
        <v>17</v>
      </c>
      <c r="I1173" s="2">
        <v>45654</v>
      </c>
      <c r="J1173" t="s">
        <v>1430</v>
      </c>
      <c r="K1173" t="s">
        <v>23</v>
      </c>
      <c r="L1173" t="s">
        <v>24</v>
      </c>
      <c r="M1173" t="s">
        <v>25</v>
      </c>
      <c r="N1173" t="str">
        <f t="shared" si="37"/>
        <v>December</v>
      </c>
    </row>
    <row r="1174" spans="1:14" x14ac:dyDescent="0.3">
      <c r="A1174" t="s">
        <v>1431</v>
      </c>
      <c r="B1174" s="1">
        <v>8531</v>
      </c>
      <c r="C1174" s="1">
        <f t="shared" si="36"/>
        <v>5976</v>
      </c>
      <c r="D1174">
        <v>2555</v>
      </c>
      <c r="E1174">
        <v>4</v>
      </c>
      <c r="F1174" t="s">
        <v>15</v>
      </c>
      <c r="G1174" t="s">
        <v>41</v>
      </c>
      <c r="H1174" t="s">
        <v>42</v>
      </c>
      <c r="I1174" s="2">
        <v>44695</v>
      </c>
      <c r="J1174" t="s">
        <v>1432</v>
      </c>
      <c r="K1174" t="s">
        <v>73</v>
      </c>
      <c r="L1174" t="s">
        <v>88</v>
      </c>
      <c r="M1174" t="s">
        <v>182</v>
      </c>
      <c r="N1174" t="str">
        <f t="shared" si="37"/>
        <v>May</v>
      </c>
    </row>
    <row r="1175" spans="1:14" x14ac:dyDescent="0.3">
      <c r="A1175" t="s">
        <v>1433</v>
      </c>
      <c r="B1175" s="1">
        <v>6646</v>
      </c>
      <c r="C1175" s="1">
        <f t="shared" si="36"/>
        <v>5798</v>
      </c>
      <c r="D1175">
        <v>848</v>
      </c>
      <c r="E1175">
        <v>15</v>
      </c>
      <c r="F1175" t="s">
        <v>47</v>
      </c>
      <c r="G1175" t="s">
        <v>62</v>
      </c>
      <c r="H1175" t="s">
        <v>34</v>
      </c>
      <c r="I1175" s="2">
        <v>45157</v>
      </c>
      <c r="J1175" t="s">
        <v>1434</v>
      </c>
      <c r="K1175" t="s">
        <v>27</v>
      </c>
      <c r="L1175" t="s">
        <v>53</v>
      </c>
      <c r="M1175" t="s">
        <v>123</v>
      </c>
      <c r="N1175" t="str">
        <f t="shared" si="37"/>
        <v>August</v>
      </c>
    </row>
    <row r="1176" spans="1:14" x14ac:dyDescent="0.3">
      <c r="A1176" t="s">
        <v>1433</v>
      </c>
      <c r="B1176" s="1">
        <v>6646</v>
      </c>
      <c r="C1176" s="1">
        <f t="shared" si="36"/>
        <v>5798</v>
      </c>
      <c r="D1176">
        <v>848</v>
      </c>
      <c r="E1176">
        <v>15</v>
      </c>
      <c r="F1176" t="s">
        <v>47</v>
      </c>
      <c r="G1176" t="s">
        <v>62</v>
      </c>
      <c r="H1176" t="s">
        <v>34</v>
      </c>
      <c r="I1176" s="2">
        <v>45121</v>
      </c>
      <c r="J1176" t="s">
        <v>1435</v>
      </c>
      <c r="K1176" t="s">
        <v>27</v>
      </c>
      <c r="L1176" t="s">
        <v>28</v>
      </c>
      <c r="M1176" t="s">
        <v>107</v>
      </c>
      <c r="N1176" t="str">
        <f t="shared" si="37"/>
        <v>July</v>
      </c>
    </row>
    <row r="1177" spans="1:14" x14ac:dyDescent="0.3">
      <c r="A1177" t="s">
        <v>1436</v>
      </c>
      <c r="B1177" s="1">
        <v>2553</v>
      </c>
      <c r="C1177" s="1">
        <f t="shared" si="36"/>
        <v>1646</v>
      </c>
      <c r="D1177">
        <v>907</v>
      </c>
      <c r="E1177">
        <v>6</v>
      </c>
      <c r="F1177" t="s">
        <v>15</v>
      </c>
      <c r="G1177" t="s">
        <v>41</v>
      </c>
      <c r="H1177" t="s">
        <v>49</v>
      </c>
      <c r="I1177" s="2">
        <v>45099</v>
      </c>
      <c r="J1177" t="s">
        <v>1437</v>
      </c>
      <c r="K1177" t="s">
        <v>73</v>
      </c>
      <c r="L1177" t="s">
        <v>74</v>
      </c>
      <c r="M1177" t="s">
        <v>21</v>
      </c>
      <c r="N1177" t="str">
        <f t="shared" si="37"/>
        <v>June</v>
      </c>
    </row>
    <row r="1178" spans="1:14" x14ac:dyDescent="0.3">
      <c r="A1178" t="s">
        <v>1438</v>
      </c>
      <c r="B1178" s="1">
        <v>8490</v>
      </c>
      <c r="C1178" s="1">
        <f t="shared" si="36"/>
        <v>5005</v>
      </c>
      <c r="D1178">
        <v>3485</v>
      </c>
      <c r="E1178">
        <v>3</v>
      </c>
      <c r="F1178" t="s">
        <v>15</v>
      </c>
      <c r="G1178" t="s">
        <v>84</v>
      </c>
      <c r="H1178" t="s">
        <v>49</v>
      </c>
      <c r="I1178" s="2">
        <v>45006</v>
      </c>
      <c r="J1178" t="s">
        <v>1439</v>
      </c>
      <c r="K1178" t="s">
        <v>27</v>
      </c>
      <c r="L1178" t="s">
        <v>53</v>
      </c>
      <c r="M1178" t="s">
        <v>247</v>
      </c>
      <c r="N1178" t="str">
        <f t="shared" si="37"/>
        <v>March</v>
      </c>
    </row>
    <row r="1179" spans="1:14" x14ac:dyDescent="0.3">
      <c r="A1179" t="s">
        <v>1440</v>
      </c>
      <c r="B1179" s="1">
        <v>2689</v>
      </c>
      <c r="C1179" s="1">
        <f t="shared" si="36"/>
        <v>1359</v>
      </c>
      <c r="D1179">
        <v>1330</v>
      </c>
      <c r="E1179">
        <v>3</v>
      </c>
      <c r="F1179" t="s">
        <v>47</v>
      </c>
      <c r="G1179" t="s">
        <v>48</v>
      </c>
      <c r="H1179" t="s">
        <v>17</v>
      </c>
      <c r="I1179" s="2">
        <v>44178</v>
      </c>
      <c r="J1179" t="s">
        <v>1441</v>
      </c>
      <c r="K1179" t="s">
        <v>44</v>
      </c>
      <c r="L1179" t="s">
        <v>45</v>
      </c>
      <c r="M1179" t="s">
        <v>289</v>
      </c>
      <c r="N1179" t="str">
        <f t="shared" si="37"/>
        <v>December</v>
      </c>
    </row>
    <row r="1180" spans="1:14" x14ac:dyDescent="0.3">
      <c r="A1180" t="s">
        <v>1440</v>
      </c>
      <c r="B1180" s="1">
        <v>2689</v>
      </c>
      <c r="C1180" s="1">
        <f t="shared" si="36"/>
        <v>1359</v>
      </c>
      <c r="D1180">
        <v>1330</v>
      </c>
      <c r="E1180">
        <v>3</v>
      </c>
      <c r="F1180" t="s">
        <v>47</v>
      </c>
      <c r="G1180" t="s">
        <v>48</v>
      </c>
      <c r="H1180" t="s">
        <v>17</v>
      </c>
      <c r="I1180" s="2">
        <v>45441</v>
      </c>
      <c r="J1180" t="s">
        <v>1442</v>
      </c>
      <c r="K1180" t="s">
        <v>19</v>
      </c>
      <c r="L1180" t="s">
        <v>20</v>
      </c>
      <c r="M1180" t="s">
        <v>37</v>
      </c>
      <c r="N1180" t="str">
        <f t="shared" si="37"/>
        <v>May</v>
      </c>
    </row>
    <row r="1181" spans="1:14" x14ac:dyDescent="0.3">
      <c r="A1181" t="s">
        <v>1443</v>
      </c>
      <c r="B1181" s="1">
        <v>815</v>
      </c>
      <c r="C1181" s="1">
        <f t="shared" si="36"/>
        <v>761</v>
      </c>
      <c r="D1181">
        <v>54</v>
      </c>
      <c r="E1181">
        <v>14</v>
      </c>
      <c r="F1181" t="s">
        <v>47</v>
      </c>
      <c r="G1181" t="s">
        <v>48</v>
      </c>
      <c r="H1181" t="s">
        <v>34</v>
      </c>
      <c r="I1181" s="2">
        <v>44341</v>
      </c>
      <c r="J1181" t="s">
        <v>1444</v>
      </c>
      <c r="K1181" t="s">
        <v>44</v>
      </c>
      <c r="L1181" t="s">
        <v>94</v>
      </c>
      <c r="M1181" t="s">
        <v>110</v>
      </c>
      <c r="N1181" t="str">
        <f t="shared" si="37"/>
        <v>May</v>
      </c>
    </row>
    <row r="1182" spans="1:14" x14ac:dyDescent="0.3">
      <c r="A1182" t="s">
        <v>1445</v>
      </c>
      <c r="B1182" s="1">
        <v>5024</v>
      </c>
      <c r="C1182" s="1">
        <f t="shared" si="36"/>
        <v>4645</v>
      </c>
      <c r="D1182">
        <v>379</v>
      </c>
      <c r="E1182">
        <v>2</v>
      </c>
      <c r="F1182" t="s">
        <v>32</v>
      </c>
      <c r="G1182" t="s">
        <v>66</v>
      </c>
      <c r="H1182" t="s">
        <v>17</v>
      </c>
      <c r="I1182" s="2">
        <v>45384</v>
      </c>
      <c r="J1182" t="s">
        <v>1446</v>
      </c>
      <c r="K1182" t="s">
        <v>73</v>
      </c>
      <c r="L1182" t="s">
        <v>74</v>
      </c>
      <c r="M1182" t="s">
        <v>237</v>
      </c>
      <c r="N1182" t="str">
        <f t="shared" si="37"/>
        <v>April</v>
      </c>
    </row>
    <row r="1183" spans="1:14" x14ac:dyDescent="0.3">
      <c r="A1183" t="s">
        <v>1445</v>
      </c>
      <c r="B1183" s="1">
        <v>5024</v>
      </c>
      <c r="C1183" s="1">
        <f t="shared" si="36"/>
        <v>4645</v>
      </c>
      <c r="D1183">
        <v>379</v>
      </c>
      <c r="E1183">
        <v>2</v>
      </c>
      <c r="F1183" t="s">
        <v>32</v>
      </c>
      <c r="G1183" t="s">
        <v>66</v>
      </c>
      <c r="H1183" t="s">
        <v>17</v>
      </c>
      <c r="I1183" s="2">
        <v>44898</v>
      </c>
      <c r="J1183" t="s">
        <v>1447</v>
      </c>
      <c r="K1183" t="s">
        <v>23</v>
      </c>
      <c r="L1183" t="s">
        <v>174</v>
      </c>
      <c r="M1183" t="s">
        <v>154</v>
      </c>
      <c r="N1183" t="str">
        <f t="shared" si="37"/>
        <v>December</v>
      </c>
    </row>
    <row r="1184" spans="1:14" x14ac:dyDescent="0.3">
      <c r="A1184" t="s">
        <v>1448</v>
      </c>
      <c r="B1184" s="1">
        <v>8962</v>
      </c>
      <c r="C1184" s="1">
        <f t="shared" si="36"/>
        <v>6518</v>
      </c>
      <c r="D1184">
        <v>2444</v>
      </c>
      <c r="E1184">
        <v>18</v>
      </c>
      <c r="F1184" t="s">
        <v>15</v>
      </c>
      <c r="G1184" t="s">
        <v>16</v>
      </c>
      <c r="H1184" t="s">
        <v>34</v>
      </c>
      <c r="I1184" s="2">
        <v>44389</v>
      </c>
      <c r="J1184" t="s">
        <v>1449</v>
      </c>
      <c r="K1184" t="s">
        <v>100</v>
      </c>
      <c r="L1184" t="s">
        <v>119</v>
      </c>
      <c r="M1184" t="s">
        <v>29</v>
      </c>
      <c r="N1184" t="str">
        <f t="shared" si="37"/>
        <v>July</v>
      </c>
    </row>
    <row r="1185" spans="1:14" x14ac:dyDescent="0.3">
      <c r="A1185" t="s">
        <v>1448</v>
      </c>
      <c r="B1185" s="1">
        <v>8962</v>
      </c>
      <c r="C1185" s="1">
        <f t="shared" si="36"/>
        <v>6518</v>
      </c>
      <c r="D1185">
        <v>2444</v>
      </c>
      <c r="E1185">
        <v>18</v>
      </c>
      <c r="F1185" t="s">
        <v>15</v>
      </c>
      <c r="G1185" t="s">
        <v>16</v>
      </c>
      <c r="H1185" t="s">
        <v>34</v>
      </c>
      <c r="I1185" s="2">
        <v>43912</v>
      </c>
      <c r="J1185" t="s">
        <v>1450</v>
      </c>
      <c r="K1185" t="s">
        <v>23</v>
      </c>
      <c r="L1185" t="s">
        <v>174</v>
      </c>
      <c r="M1185" t="s">
        <v>57</v>
      </c>
      <c r="N1185" t="str">
        <f t="shared" si="37"/>
        <v>March</v>
      </c>
    </row>
    <row r="1186" spans="1:14" x14ac:dyDescent="0.3">
      <c r="A1186" t="s">
        <v>1451</v>
      </c>
      <c r="B1186" s="1">
        <v>1961</v>
      </c>
      <c r="C1186" s="1">
        <f t="shared" si="36"/>
        <v>1902</v>
      </c>
      <c r="D1186">
        <v>59</v>
      </c>
      <c r="E1186">
        <v>12</v>
      </c>
      <c r="F1186" t="s">
        <v>32</v>
      </c>
      <c r="G1186" t="s">
        <v>80</v>
      </c>
      <c r="H1186" t="s">
        <v>17</v>
      </c>
      <c r="I1186" s="2">
        <v>44052</v>
      </c>
      <c r="J1186" t="s">
        <v>1452</v>
      </c>
      <c r="K1186" t="s">
        <v>19</v>
      </c>
      <c r="L1186" t="s">
        <v>36</v>
      </c>
      <c r="M1186" t="s">
        <v>187</v>
      </c>
      <c r="N1186" t="str">
        <f t="shared" si="37"/>
        <v>August</v>
      </c>
    </row>
    <row r="1187" spans="1:14" x14ac:dyDescent="0.3">
      <c r="A1187" t="s">
        <v>1453</v>
      </c>
      <c r="B1187" s="1">
        <v>526</v>
      </c>
      <c r="C1187" s="1">
        <f t="shared" si="36"/>
        <v>443</v>
      </c>
      <c r="D1187">
        <v>83</v>
      </c>
      <c r="E1187">
        <v>4</v>
      </c>
      <c r="F1187" t="s">
        <v>47</v>
      </c>
      <c r="G1187" t="s">
        <v>62</v>
      </c>
      <c r="H1187" t="s">
        <v>49</v>
      </c>
      <c r="I1187" s="2">
        <v>44610</v>
      </c>
      <c r="J1187" t="s">
        <v>1454</v>
      </c>
      <c r="K1187" t="s">
        <v>23</v>
      </c>
      <c r="L1187" t="s">
        <v>24</v>
      </c>
      <c r="M1187" t="s">
        <v>139</v>
      </c>
      <c r="N1187" t="str">
        <f t="shared" si="37"/>
        <v>February</v>
      </c>
    </row>
    <row r="1188" spans="1:14" x14ac:dyDescent="0.3">
      <c r="A1188" t="s">
        <v>1455</v>
      </c>
      <c r="B1188" s="1">
        <v>6093</v>
      </c>
      <c r="C1188" s="1">
        <f t="shared" si="36"/>
        <v>3051</v>
      </c>
      <c r="D1188">
        <v>3042</v>
      </c>
      <c r="E1188">
        <v>9</v>
      </c>
      <c r="F1188" t="s">
        <v>47</v>
      </c>
      <c r="G1188" t="s">
        <v>111</v>
      </c>
      <c r="H1188" t="s">
        <v>34</v>
      </c>
      <c r="I1188" s="2">
        <v>44361</v>
      </c>
      <c r="J1188" t="s">
        <v>1456</v>
      </c>
      <c r="K1188" t="s">
        <v>44</v>
      </c>
      <c r="L1188" t="s">
        <v>94</v>
      </c>
      <c r="M1188" t="s">
        <v>127</v>
      </c>
      <c r="N1188" t="str">
        <f t="shared" si="37"/>
        <v>June</v>
      </c>
    </row>
    <row r="1189" spans="1:14" x14ac:dyDescent="0.3">
      <c r="A1189" t="s">
        <v>1455</v>
      </c>
      <c r="B1189" s="1">
        <v>6093</v>
      </c>
      <c r="C1189" s="1">
        <f t="shared" si="36"/>
        <v>3051</v>
      </c>
      <c r="D1189">
        <v>3042</v>
      </c>
      <c r="E1189">
        <v>9</v>
      </c>
      <c r="F1189" t="s">
        <v>47</v>
      </c>
      <c r="G1189" t="s">
        <v>111</v>
      </c>
      <c r="H1189" t="s">
        <v>34</v>
      </c>
      <c r="I1189" s="2">
        <v>44256</v>
      </c>
      <c r="J1189" t="s">
        <v>1457</v>
      </c>
      <c r="K1189" t="s">
        <v>44</v>
      </c>
      <c r="L1189" t="s">
        <v>77</v>
      </c>
      <c r="M1189" t="s">
        <v>169</v>
      </c>
      <c r="N1189" t="str">
        <f t="shared" si="37"/>
        <v>March</v>
      </c>
    </row>
    <row r="1190" spans="1:14" x14ac:dyDescent="0.3">
      <c r="A1190" t="s">
        <v>1458</v>
      </c>
      <c r="B1190" s="1">
        <v>7699</v>
      </c>
      <c r="C1190" s="1">
        <f t="shared" si="36"/>
        <v>7453</v>
      </c>
      <c r="D1190">
        <v>246</v>
      </c>
      <c r="E1190">
        <v>5</v>
      </c>
      <c r="F1190" t="s">
        <v>15</v>
      </c>
      <c r="G1190" t="s">
        <v>16</v>
      </c>
      <c r="H1190" t="s">
        <v>34</v>
      </c>
      <c r="I1190" s="2">
        <v>45192</v>
      </c>
      <c r="J1190" t="s">
        <v>1459</v>
      </c>
      <c r="K1190" t="s">
        <v>73</v>
      </c>
      <c r="L1190" t="s">
        <v>88</v>
      </c>
      <c r="M1190" t="s">
        <v>275</v>
      </c>
      <c r="N1190" t="str">
        <f t="shared" si="37"/>
        <v>September</v>
      </c>
    </row>
    <row r="1191" spans="1:14" x14ac:dyDescent="0.3">
      <c r="A1191" t="s">
        <v>1460</v>
      </c>
      <c r="B1191" s="1">
        <v>8825</v>
      </c>
      <c r="C1191" s="1">
        <f t="shared" si="36"/>
        <v>5231</v>
      </c>
      <c r="D1191">
        <v>3594</v>
      </c>
      <c r="E1191">
        <v>15</v>
      </c>
      <c r="F1191" t="s">
        <v>47</v>
      </c>
      <c r="G1191" t="s">
        <v>48</v>
      </c>
      <c r="H1191" t="s">
        <v>34</v>
      </c>
      <c r="I1191" s="2">
        <v>45504</v>
      </c>
      <c r="J1191" t="s">
        <v>1461</v>
      </c>
      <c r="K1191" t="s">
        <v>27</v>
      </c>
      <c r="L1191" t="s">
        <v>53</v>
      </c>
      <c r="M1191" t="s">
        <v>217</v>
      </c>
      <c r="N1191" t="str">
        <f t="shared" si="37"/>
        <v>July</v>
      </c>
    </row>
    <row r="1192" spans="1:14" x14ac:dyDescent="0.3">
      <c r="A1192" t="s">
        <v>1462</v>
      </c>
      <c r="B1192" s="1">
        <v>2082</v>
      </c>
      <c r="C1192" s="1">
        <f t="shared" si="36"/>
        <v>1440</v>
      </c>
      <c r="D1192">
        <v>642</v>
      </c>
      <c r="E1192">
        <v>8</v>
      </c>
      <c r="F1192" t="s">
        <v>15</v>
      </c>
      <c r="G1192" t="s">
        <v>84</v>
      </c>
      <c r="H1192" t="s">
        <v>42</v>
      </c>
      <c r="I1192" s="2">
        <v>43984</v>
      </c>
      <c r="J1192" t="s">
        <v>1463</v>
      </c>
      <c r="K1192" t="s">
        <v>27</v>
      </c>
      <c r="L1192" t="s">
        <v>70</v>
      </c>
      <c r="M1192" t="s">
        <v>315</v>
      </c>
      <c r="N1192" t="str">
        <f t="shared" si="37"/>
        <v>June</v>
      </c>
    </row>
    <row r="1193" spans="1:14" x14ac:dyDescent="0.3">
      <c r="A1193" t="s">
        <v>1462</v>
      </c>
      <c r="B1193" s="1">
        <v>2082</v>
      </c>
      <c r="C1193" s="1">
        <f t="shared" si="36"/>
        <v>1440</v>
      </c>
      <c r="D1193">
        <v>642</v>
      </c>
      <c r="E1193">
        <v>8</v>
      </c>
      <c r="F1193" t="s">
        <v>15</v>
      </c>
      <c r="G1193" t="s">
        <v>84</v>
      </c>
      <c r="H1193" t="s">
        <v>42</v>
      </c>
      <c r="I1193" s="2">
        <v>44910</v>
      </c>
      <c r="J1193" t="s">
        <v>1464</v>
      </c>
      <c r="K1193" t="s">
        <v>73</v>
      </c>
      <c r="L1193" t="s">
        <v>88</v>
      </c>
      <c r="M1193" t="s">
        <v>154</v>
      </c>
      <c r="N1193" t="str">
        <f t="shared" si="37"/>
        <v>December</v>
      </c>
    </row>
    <row r="1194" spans="1:14" x14ac:dyDescent="0.3">
      <c r="A1194" t="s">
        <v>1462</v>
      </c>
      <c r="B1194" s="1">
        <v>2082</v>
      </c>
      <c r="C1194" s="1">
        <f t="shared" si="36"/>
        <v>1440</v>
      </c>
      <c r="D1194">
        <v>642</v>
      </c>
      <c r="E1194">
        <v>8</v>
      </c>
      <c r="F1194" t="s">
        <v>15</v>
      </c>
      <c r="G1194" t="s">
        <v>84</v>
      </c>
      <c r="H1194" t="s">
        <v>42</v>
      </c>
      <c r="I1194" s="2">
        <v>44050</v>
      </c>
      <c r="J1194" t="s">
        <v>1465</v>
      </c>
      <c r="K1194" t="s">
        <v>27</v>
      </c>
      <c r="L1194" t="s">
        <v>28</v>
      </c>
      <c r="M1194" t="s">
        <v>187</v>
      </c>
      <c r="N1194" t="str">
        <f t="shared" si="37"/>
        <v>August</v>
      </c>
    </row>
    <row r="1195" spans="1:14" x14ac:dyDescent="0.3">
      <c r="A1195" t="s">
        <v>1466</v>
      </c>
      <c r="B1195" s="1">
        <v>914</v>
      </c>
      <c r="C1195" s="1">
        <f t="shared" si="36"/>
        <v>751</v>
      </c>
      <c r="D1195">
        <v>163</v>
      </c>
      <c r="E1195">
        <v>13</v>
      </c>
      <c r="F1195" t="s">
        <v>32</v>
      </c>
      <c r="G1195" t="s">
        <v>59</v>
      </c>
      <c r="H1195" t="s">
        <v>17</v>
      </c>
      <c r="I1195" s="2">
        <v>45591</v>
      </c>
      <c r="J1195" t="s">
        <v>1467</v>
      </c>
      <c r="K1195" t="s">
        <v>23</v>
      </c>
      <c r="L1195" t="s">
        <v>24</v>
      </c>
      <c r="M1195" t="s">
        <v>362</v>
      </c>
      <c r="N1195" t="str">
        <f t="shared" si="37"/>
        <v>October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C54A-B48F-4ECB-93BE-82B71CE7816A}">
  <dimension ref="B4:L32"/>
  <sheetViews>
    <sheetView showGridLines="0" workbookViewId="0">
      <selection activeCell="O3" sqref="O3:U19"/>
    </sheetView>
  </sheetViews>
  <sheetFormatPr defaultRowHeight="14.4" x14ac:dyDescent="0.3"/>
  <cols>
    <col min="2" max="2" width="17.21875" bestFit="1" customWidth="1"/>
    <col min="3" max="3" width="14.109375" bestFit="1" customWidth="1"/>
    <col min="4" max="4" width="13.5546875" bestFit="1" customWidth="1"/>
    <col min="5" max="9" width="16.21875" bestFit="1" customWidth="1"/>
    <col min="10" max="11" width="17.21875" bestFit="1" customWidth="1"/>
    <col min="12" max="12" width="14.109375" bestFit="1" customWidth="1"/>
  </cols>
  <sheetData>
    <row r="4" spans="2:12" x14ac:dyDescent="0.3">
      <c r="B4" s="6" t="s">
        <v>1468</v>
      </c>
      <c r="C4" t="s">
        <v>1469</v>
      </c>
      <c r="K4" s="6" t="s">
        <v>1468</v>
      </c>
      <c r="L4" t="s">
        <v>1469</v>
      </c>
    </row>
    <row r="5" spans="2:12" x14ac:dyDescent="0.3">
      <c r="B5" s="3" t="s">
        <v>80</v>
      </c>
      <c r="C5" s="4">
        <v>97257</v>
      </c>
      <c r="K5" s="3" t="s">
        <v>1470</v>
      </c>
      <c r="L5" s="4">
        <v>110381</v>
      </c>
    </row>
    <row r="6" spans="2:12" x14ac:dyDescent="0.3">
      <c r="B6" s="3" t="s">
        <v>111</v>
      </c>
      <c r="C6" s="4">
        <v>118000</v>
      </c>
      <c r="K6" s="3" t="s">
        <v>1471</v>
      </c>
      <c r="L6" s="4">
        <v>118941</v>
      </c>
    </row>
    <row r="7" spans="2:12" x14ac:dyDescent="0.3">
      <c r="B7" s="3" t="s">
        <v>51</v>
      </c>
      <c r="C7" s="4">
        <v>122892</v>
      </c>
      <c r="K7" s="3" t="s">
        <v>1472</v>
      </c>
      <c r="L7" s="4">
        <v>152739</v>
      </c>
    </row>
    <row r="8" spans="2:12" x14ac:dyDescent="0.3">
      <c r="B8" s="3" t="s">
        <v>16</v>
      </c>
      <c r="C8" s="4">
        <v>148454</v>
      </c>
      <c r="K8" s="3" t="s">
        <v>1473</v>
      </c>
      <c r="L8" s="4">
        <v>139373</v>
      </c>
    </row>
    <row r="9" spans="2:12" x14ac:dyDescent="0.3">
      <c r="B9" s="3" t="s">
        <v>41</v>
      </c>
      <c r="C9" s="4">
        <v>110260</v>
      </c>
      <c r="K9" s="3" t="s">
        <v>1474</v>
      </c>
      <c r="L9" s="4">
        <v>129629</v>
      </c>
    </row>
    <row r="10" spans="2:12" x14ac:dyDescent="0.3">
      <c r="B10" s="3" t="s">
        <v>59</v>
      </c>
      <c r="C10" s="4">
        <v>174749</v>
      </c>
      <c r="K10" s="3" t="s">
        <v>1475</v>
      </c>
      <c r="L10" s="4">
        <v>141845</v>
      </c>
    </row>
    <row r="11" spans="2:12" x14ac:dyDescent="0.3">
      <c r="B11" s="3" t="s">
        <v>66</v>
      </c>
      <c r="C11" s="4">
        <v>149723</v>
      </c>
      <c r="K11" s="3" t="s">
        <v>1476</v>
      </c>
      <c r="L11" s="4">
        <v>132117</v>
      </c>
    </row>
    <row r="12" spans="2:12" x14ac:dyDescent="0.3">
      <c r="B12" s="3" t="s">
        <v>33</v>
      </c>
      <c r="C12" s="4">
        <v>129846</v>
      </c>
      <c r="K12" s="3" t="s">
        <v>1477</v>
      </c>
      <c r="L12" s="4">
        <v>143289</v>
      </c>
    </row>
    <row r="13" spans="2:12" x14ac:dyDescent="0.3">
      <c r="B13" s="3" t="s">
        <v>84</v>
      </c>
      <c r="C13" s="4">
        <v>113607</v>
      </c>
      <c r="K13" s="3" t="s">
        <v>1478</v>
      </c>
      <c r="L13" s="4">
        <v>111244</v>
      </c>
    </row>
    <row r="14" spans="2:12" x14ac:dyDescent="0.3">
      <c r="B14" s="3" t="s">
        <v>30</v>
      </c>
      <c r="C14" s="4">
        <v>146259</v>
      </c>
      <c r="K14" s="3" t="s">
        <v>1479</v>
      </c>
      <c r="L14" s="4">
        <v>155154</v>
      </c>
    </row>
    <row r="15" spans="2:12" x14ac:dyDescent="0.3">
      <c r="B15" s="3" t="s">
        <v>62</v>
      </c>
      <c r="C15" s="4">
        <v>142854</v>
      </c>
      <c r="K15" s="3" t="s">
        <v>1480</v>
      </c>
      <c r="L15" s="4">
        <v>116169</v>
      </c>
    </row>
    <row r="16" spans="2:12" x14ac:dyDescent="0.3">
      <c r="B16" s="3" t="s">
        <v>48</v>
      </c>
      <c r="C16" s="4">
        <v>156796</v>
      </c>
      <c r="K16" s="3" t="s">
        <v>1481</v>
      </c>
      <c r="L16" s="4">
        <v>159816</v>
      </c>
    </row>
    <row r="17" spans="2:12" x14ac:dyDescent="0.3">
      <c r="B17" s="3" t="s">
        <v>1482</v>
      </c>
      <c r="C17" s="4">
        <v>1610697</v>
      </c>
      <c r="K17" s="3" t="s">
        <v>1482</v>
      </c>
      <c r="L17" s="4">
        <v>1610697</v>
      </c>
    </row>
    <row r="26" spans="2:12" x14ac:dyDescent="0.3">
      <c r="B26" s="6" t="s">
        <v>1468</v>
      </c>
      <c r="C26" t="s">
        <v>1483</v>
      </c>
    </row>
    <row r="27" spans="2:12" x14ac:dyDescent="0.3">
      <c r="B27" s="3" t="s">
        <v>67</v>
      </c>
      <c r="C27" s="5">
        <v>2191</v>
      </c>
    </row>
    <row r="28" spans="2:12" x14ac:dyDescent="0.3">
      <c r="B28" s="3" t="s">
        <v>49</v>
      </c>
      <c r="C28" s="5">
        <v>2685</v>
      </c>
    </row>
    <row r="29" spans="2:12" x14ac:dyDescent="0.3">
      <c r="B29" s="3" t="s">
        <v>34</v>
      </c>
      <c r="C29" s="5">
        <v>2773</v>
      </c>
    </row>
    <row r="30" spans="2:12" x14ac:dyDescent="0.3">
      <c r="B30" s="3" t="s">
        <v>42</v>
      </c>
      <c r="C30" s="5">
        <v>2371</v>
      </c>
    </row>
    <row r="31" spans="2:12" x14ac:dyDescent="0.3">
      <c r="B31" s="3" t="s">
        <v>17</v>
      </c>
      <c r="C31" s="5">
        <v>2725</v>
      </c>
    </row>
    <row r="32" spans="2:12" x14ac:dyDescent="0.3">
      <c r="B32" s="3" t="s">
        <v>1482</v>
      </c>
      <c r="C32" s="5">
        <v>12745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728E-9359-42BB-BF10-C2C8B398B974}">
  <dimension ref="A1:M50"/>
  <sheetViews>
    <sheetView showGridLines="0" tabSelected="1" zoomScale="85" zoomScaleNormal="85" workbookViewId="0">
      <selection activeCell="B2" sqref="B2:L2"/>
    </sheetView>
  </sheetViews>
  <sheetFormatPr defaultColWidth="0" defaultRowHeight="14.4" zeroHeight="1" x14ac:dyDescent="0.3"/>
  <cols>
    <col min="1" max="1" width="8.88671875" customWidth="1"/>
    <col min="2" max="2" width="32" bestFit="1" customWidth="1"/>
    <col min="3" max="13" width="8.88671875" customWidth="1"/>
    <col min="14" max="16384" width="8.88671875" hidden="1"/>
  </cols>
  <sheetData>
    <row r="1" spans="2:12" x14ac:dyDescent="0.3"/>
    <row r="2" spans="2:12" ht="36.6" x14ac:dyDescent="0.3">
      <c r="B2" s="14" t="s">
        <v>1484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x14ac:dyDescent="0.3"/>
    <row r="4" spans="2:12" ht="6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 x14ac:dyDescent="0.3"/>
    <row r="6" spans="2:12" x14ac:dyDescent="0.3"/>
    <row r="7" spans="2:12" x14ac:dyDescent="0.3">
      <c r="C7" s="9" t="str">
        <f>"Least Used Payment Method: "&amp;INDEX('Pivot Tables'!$B$27:$B$31,MATCH(MIN('Pivot Tables'!$C$27:$C$31),'Pivot Tables'!$C$27:$C$31,0))</f>
        <v>Least Used Payment Method: COD</v>
      </c>
      <c r="E7" s="9" t="str">
        <f>"Total Profit: $ "&amp;TEXT(GETPIVOTDATA("Profit",'Pivot Tables'!$B$4),"#,##0.00")</f>
        <v>Total Profit: $ 1,610,697.00</v>
      </c>
      <c r="J7" s="9" t="str">
        <f>"Most Used Payment Method: "&amp;INDEX('Pivot Tables'!$B$27:$B$31,MATCH(MAX('Pivot Tables'!$C$27:$C$31),'Pivot Tables'!$C$27:$C$31,0))</f>
        <v>Most Used Payment Method: Debit Card</v>
      </c>
    </row>
    <row r="8" spans="2:12" x14ac:dyDescent="0.3"/>
    <row r="9" spans="2:12" x14ac:dyDescent="0.3"/>
    <row r="10" spans="2:12" x14ac:dyDescent="0.3"/>
    <row r="11" spans="2:12" x14ac:dyDescent="0.3"/>
    <row r="12" spans="2:12" x14ac:dyDescent="0.3"/>
    <row r="13" spans="2:12" x14ac:dyDescent="0.3"/>
    <row r="14" spans="2:12" x14ac:dyDescent="0.3"/>
    <row r="15" spans="2:12" x14ac:dyDescent="0.3"/>
    <row r="16" spans="2:12" x14ac:dyDescent="0.3"/>
    <row r="17" spans="2:2" x14ac:dyDescent="0.3"/>
    <row r="18" spans="2:2" x14ac:dyDescent="0.3"/>
    <row r="19" spans="2:2" x14ac:dyDescent="0.3"/>
    <row r="20" spans="2:2" x14ac:dyDescent="0.3"/>
    <row r="21" spans="2:2" x14ac:dyDescent="0.3"/>
    <row r="22" spans="2:2" x14ac:dyDescent="0.3"/>
    <row r="23" spans="2:2" x14ac:dyDescent="0.3"/>
    <row r="24" spans="2:2" x14ac:dyDescent="0.3"/>
    <row r="25" spans="2:2" ht="18" x14ac:dyDescent="0.3">
      <c r="B25" s="10"/>
    </row>
    <row r="26" spans="2:2" ht="15.6" x14ac:dyDescent="0.3">
      <c r="B26" s="11"/>
    </row>
    <row r="27" spans="2:2" x14ac:dyDescent="0.3"/>
    <row r="28" spans="2:2" x14ac:dyDescent="0.3"/>
    <row r="29" spans="2:2" ht="18" x14ac:dyDescent="0.3">
      <c r="B29" s="12"/>
    </row>
    <row r="30" spans="2:2" ht="15.6" x14ac:dyDescent="0.3">
      <c r="B30" s="13"/>
    </row>
    <row r="31" spans="2:2" ht="15.6" x14ac:dyDescent="0.3">
      <c r="B31" s="8"/>
    </row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t="13.8" hidden="1" customHeight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</sheetData>
  <mergeCells count="1">
    <mergeCell ref="B2:L2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Clean Dataset</vt:lpstr>
      <vt:lpstr>Pivot Tables</vt:lpstr>
      <vt:lpstr>EFOS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2026-05-15T00:15:59Z</dcterms:created>
  <dcterms:modified xsi:type="dcterms:W3CDTF">2026-05-18T21:59:42Z</dcterms:modified>
</cp:coreProperties>
</file>